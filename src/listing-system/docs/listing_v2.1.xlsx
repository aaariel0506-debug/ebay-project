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利润试算表" sheetId="1" r:id="rId5"/>
    <sheet state="visible" name="工作表13" sheetId="2" r:id="rId6"/>
    <sheet state="visible" name="UPC查重表" sheetId="3" r:id="rId7"/>
    <sheet state="visible" name="运费（邮政）" sheetId="4" r:id="rId8"/>
    <sheet state="visible" name="运费（橙联）" sheetId="5" r:id="rId9"/>
    <sheet state="visible" name="参数表" sheetId="6" r:id="rId10"/>
  </sheets>
  <definedNames>
    <definedName hidden="1" localSheetId="0" name="_xlnm._FilterDatabase">'利润试算表'!$A$3:$X$299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有重复则标黄
</t>
      </text>
    </comment>
    <comment authorId="0" ref="G3">
      <text>
        <t xml:space="preserve">有重复则标黄</t>
      </text>
    </comment>
    <comment authorId="0" ref="L3">
      <text>
        <t xml:space="preserve">小件商品，+5
中大件商品，+10</t>
      </text>
    </comment>
    <comment authorId="0" ref="M3">
      <text>
        <t xml:space="preserve">小件商品，+5
中大件商品，+10</t>
      </text>
    </comment>
    <comment authorId="0" ref="N3">
      <text>
        <t xml:space="preserve">小件商品，+5
中大件商品，+10</t>
      </text>
    </comment>
    <comment authorId="0" ref="AD3">
      <text>
        <t xml:space="preserve">数值小于20%，文字为红色。
数值小于Z列，底色为黄色</t>
      </text>
    </comment>
    <comment authorId="0" ref="G246">
      <text>
        <t xml:space="preserve">4902778301302</t>
      </text>
    </comment>
    <comment authorId="0" ref="G381">
      <text>
        <t xml:space="preserve">1.0，4550133021473</t>
      </text>
    </comment>
    <comment authorId="0" ref="G382">
      <text>
        <t xml:space="preserve">4550133021527/1.0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8">
      <text>
        <t xml:space="preserve">对应UPC似为 4968779101006</t>
      </text>
    </comment>
    <comment authorId="0" ref="A961">
      <text>
        <t xml:space="preserve"> 4907052701502本体
</t>
      </text>
    </comment>
    <comment authorId="0" ref="A963">
      <text>
        <t xml:space="preserve">4903585337171替刃
</t>
      </text>
    </comment>
    <comment authorId="0" ref="A964">
      <text>
        <t xml:space="preserve">4903585354369本体</t>
      </text>
    </comment>
    <comment authorId="0" ref="A965">
      <text>
        <t xml:space="preserve"> 4903585294306本体
</t>
      </text>
    </comment>
    <comment authorId="0" ref="A966">
      <text>
        <t xml:space="preserve">4903585270270本体</t>
      </text>
    </comment>
    <comment authorId="0" ref="A967">
      <text>
        <t xml:space="preserve">4903585356363
本体</t>
      </text>
    </comment>
    <comment authorId="0" ref="A968">
      <text>
        <t xml:space="preserve">4903585357360</t>
      </text>
    </comment>
    <comment authorId="0" ref="A969">
      <text>
        <t xml:space="preserve"> 4991863509211</t>
      </text>
    </comment>
    <comment authorId="0" ref="A974">
      <text>
        <t xml:space="preserve">4969402043823</t>
      </text>
    </comment>
    <comment authorId="0" ref="A975">
      <text>
        <t xml:space="preserve">49694020494434969402043816</t>
      </text>
    </comment>
    <comment authorId="0" ref="A1011">
      <text>
        <t xml:space="preserve"> 4907052114968</t>
      </text>
    </comment>
  </commentList>
</comments>
</file>

<file path=xl/sharedStrings.xml><?xml version="1.0" encoding="utf-8"?>
<sst xmlns="http://schemas.openxmlformats.org/spreadsheetml/2006/main" count="2143" uniqueCount="1710">
  <si>
    <t>f</t>
  </si>
  <si>
    <t>填写格</t>
  </si>
  <si>
    <t>不要修改</t>
  </si>
  <si>
    <t>信封大</t>
  </si>
  <si>
    <t>34x24x2</t>
  </si>
  <si>
    <t>计算格</t>
  </si>
  <si>
    <t>实际测量体积</t>
  </si>
  <si>
    <t>信封中</t>
  </si>
  <si>
    <t>28.5x20x2</t>
  </si>
  <si>
    <t>EC site URL</t>
  </si>
  <si>
    <t>eBayURL</t>
  </si>
  <si>
    <t>ItemID（SKU)</t>
  </si>
  <si>
    <t>刊登</t>
  </si>
  <si>
    <t>优化</t>
  </si>
  <si>
    <t>视频</t>
  </si>
  <si>
    <t>UPC</t>
  </si>
  <si>
    <t>广告费</t>
  </si>
  <si>
    <t>价格折扣</t>
  </si>
  <si>
    <t>采购价格
（日）</t>
  </si>
  <si>
    <t>JP重量
(g)</t>
  </si>
  <si>
    <t>长
（cm）</t>
  </si>
  <si>
    <t>高
（cm)</t>
  </si>
  <si>
    <t>OC重量
（g)</t>
  </si>
  <si>
    <t>销售价格
USD</t>
  </si>
  <si>
    <t>物流费用
US外</t>
  </si>
  <si>
    <t>物流定价
US</t>
  </si>
  <si>
    <t>增加成本
US</t>
  </si>
  <si>
    <t>总价
US</t>
  </si>
  <si>
    <t>SP运费</t>
  </si>
  <si>
    <t>关税及
手续费</t>
  </si>
  <si>
    <t>eBay
佣金</t>
  </si>
  <si>
    <t>海外
手数料</t>
  </si>
  <si>
    <t>利润
（US外）</t>
  </si>
  <si>
    <t>利润率
（US外）</t>
  </si>
  <si>
    <t>ROI
（US外）</t>
  </si>
  <si>
    <t>利润
（US）</t>
  </si>
  <si>
    <t>利润率
（US）</t>
  </si>
  <si>
    <t>ROI
（US）</t>
  </si>
  <si>
    <t>eBay费用
（US外）</t>
  </si>
  <si>
    <t>eBay费用
（US）</t>
  </si>
  <si>
    <t>备注</t>
  </si>
  <si>
    <t>例子</t>
  </si>
  <si>
    <t>01-2507-0003</t>
  </si>
  <si>
    <t>这一行不要改</t>
  </si>
  <si>
    <t>https://www.amazon.co.jp/PILOT-%E3%83%9C%E3%83%BC%E3%83%AB%E3%83%9A%E3%83%B3-%E3%82%B8%E3%83%A5%E3%83%BC%E3%82%B9%E3%83%97%E3%83%A9%E3%82%B93%E8%89%B2%E3%82%BB%E3%83%83%E3%83%88-0-4mm-LJL143CA/dp/B0FW4M3LH7/ref=sr_1_9?crid=3NWFUPINP4YPW&amp;dib=eyJ2IjoiMSJ9.VoEIf6XsPD72Nnsq7obLDQNFAPoKxm4HuckZ4JaCj4hrQ3AllLYOmNO1gDAC2gMX5ZSuyQGaPOAEsyfzCt7MTBgedsxRSQVj7F3bURQv7g8c8tQHHxUEbSjdHLeeQigHKetmvJk2KpWQOIjCG6s_t95rlO1w2uJI646uZHkCZyA0ojXqT4QFQXnnkpBXb1Zg73If2Hnmp9r_WE1N6s5gW-Xg2Z3XR1AsDwDro3TVsGGcwJo2CPfkyGQFpSSC0EZajSj7FF7jPxheONdsqC3JxExu9U5fga9QDSNFv2NtbVY.nzwlsZPC1vN2AGRLcmx8r_1CD4JyD5CVIorNudhCbdY&amp;dib_tag=se&amp;keywords=pilot%2Bjuice%2B&amp;qid=1768525949&amp;sprefix=pilot%2Bjuice%2B%2Caps%2C293&amp;sr=8-9&amp;th=1</t>
  </si>
  <si>
    <t>01-2601-0074</t>
  </si>
  <si>
    <t>没货</t>
  </si>
  <si>
    <t>可直接上3个的套装</t>
  </si>
  <si>
    <t>https://www.amazon.co.jp/%E3%83%91%E3%82%A4%E3%83%AD%E3%83%83%E3%83%88-4%E8%89%B2%E3%83%9C%E3%83%BC%E3%83%AB%E3%83%9A%E3%83%B3-%E3%83%95%E3%83%AA%E3%82%AF%E3%82%B7%E3%83%A7%E3%83%B3%E3%83%9C%E3%83%BC%E3%83%AB4-LKFB-3SEF-BN-0-5mm/dp/B00IMDNQ3A?ref_=ast_sto_dp&amp;th=1</t>
  </si>
  <si>
    <t>01-2601-0075</t>
  </si>
  <si>
    <t>4色变体</t>
  </si>
  <si>
    <t>4902505472954</t>
  </si>
  <si>
    <t>https://www.amazon.co.jp/%E3%83%A6%E3%83%BC%E3%82%A8%E3%83%A0%E5%B7%A5%E6%A5%AD-403-50-%E3%82%B7%E3%83%AB%E3%82%AD%E3%83%BC-%E3%82%AB%E3%82%BF%E3%83%8A%E3%83%9C%E3%83%BC%E3%82%A4-500mm/dp/B002GKB5PQ/ref=zg_bs_g_2039536051_d_sccl_12/357-9393567-9939435?psc=1</t>
  </si>
  <si>
    <t>01-2601-0076</t>
  </si>
  <si>
    <t>重复</t>
  </si>
  <si>
    <t>7241870617544</t>
  </si>
  <si>
    <t>https://www.amazon.co.jp/PILOT-%E3%83%9C%E3%83%BC%E3%83%AB%E3%83%9A%E3%83%B3-%E3%83%95%E3%83%AA%E3%82%AF%E3%82%B7%E3%83%A7%E3%83%B3%E3%83%9C%E3%83%BC%E3%83%AB%E3%83%8E%E3%83%83%E3%82%AF%E3%82%BE%E3%83%BC%E3%83%B3-%E3%82%A4%E3%83%B3%E3%82%B9%E3%83%94%E3%83%AC%E3%83%BC%E3%82%B7%E3%83%A7%E3%83%B3%E3%83%AC%E3%83%83%E3%83%89-LFBKZ3SEFIR/dp/B0BMZT54C5?ref_=ast_sto_dp&amp;th=1</t>
  </si>
  <si>
    <t>01-2601-0078</t>
  </si>
  <si>
    <t>4902505652134</t>
  </si>
  <si>
    <t>https://www.amazon.co.jp/%E3%82%BC%E3%83%96%E3%83%A9-%E3%82%B8%E3%82%A7%E3%83%AB%E3%83%9C%E3%83%BC%E3%83%AB%E3%83%9A%E3%83%B3-%E3%82%B5%E3%83%A9%E3%82%B5%E3%82%AF%E3%83%AA%E3%83%83%E3%83%97-%E3%83%9E%E3%82%A4%E3%83%A1%E3%83%AD%E3%83%87%E3%82%A3%EF%BC%86%E3%82%AF%E3%83%AD%E3%83%9F-JJ15-MMKU-5C/dp/B0F2D4S99Z/ref=sr_1_10?crid=2W1ERF33UNGBZ&amp;dib=eyJ2IjoiMSJ9.xdOQlEeBBWGFNZTSZSp1MHFgv96bUH47qxV9_U74j1A4gie8FjQlRjC6lOGbAPRoY6Mu_pXvFuN20K4E6rIGcDsFo18KNTDfKay5fAsdqtZlDnn9mU44ITQVpyKAZpA-8rZmQ_fOMMqLlyMSobRAg57lQeQjmRX6CyXRpFgu8-UrsZHsNK1ktnSZcDm_e1FQd5Q9nuvip_hQdo84M3IdgJWNrG63S63IYaAYplpKbkktql66tDBbNE__P6Vtfefomej0LYpzsvWPaPGI7KqBSNi_fidsl48U_Our9bp-v-o.RGyKS_UYKkRbuxa6axqsrlRcvU7xaNOJi8s2KNpFcek&amp;dib_tag=se&amp;keywords=zebra&amp;qid=1768526158&amp;sprefix=zebra%2Caps%2C309&amp;sr=8-10</t>
  </si>
  <si>
    <t>01-2601-0079</t>
  </si>
  <si>
    <t>是</t>
  </si>
  <si>
    <t>4901681831463</t>
  </si>
  <si>
    <t>https://www.amazon.co.jp/dp/B0FKTCF191/ref=sspa_dk_detail_1?pd_rd_i=B0FKTCF191&amp;pd_rd_w=8EnnM&amp;content-id=amzn1.sym.f293be60-50b7-49bc-95e8-931faf86ed1e&amp;pf_rd_p=f293be60-50b7-49bc-95e8-931faf86ed1e&amp;pf_rd_r=WEZ55RMBKF000HZ0BPD8&amp;pd_rd_wg=JkCxH&amp;pd_rd_r=b041411b-b595-4ba2-9092-601825c9e6ca&amp;sp_csd=d2lkZ2V0TmFtZT1zcF9kZXRhaWw&amp;th=1</t>
  </si>
  <si>
    <t>01-2601-0080</t>
  </si>
  <si>
    <t>3色变体</t>
  </si>
  <si>
    <t>4550624770859</t>
  </si>
  <si>
    <t>https://www.amazon.co.jp/dp/B0FKTF2XVZ/ref=sspa_dk_detail_2?pf_rd_p=f293be60-50b7-49bc-95e8-931faf86ed1e&amp;pf_rd_r=WEZ55RMBKF000HZ0BPD8&amp;pd_rd_wg=JkCxH&amp;pd_rd_w=8EnnM&amp;content-id=amzn1.sym.f293be60-50b7-49bc-95e8-931faf86ed1e&amp;pd_rd_r=b041411b-b595-4ba2-9092-601825c9e6ca&amp;sp_csd=d2lkZ2V0TmFtZT1zcF9kZXRhaWw&amp;th=1</t>
  </si>
  <si>
    <t>01-2601-0081</t>
  </si>
  <si>
    <t>同上</t>
  </si>
  <si>
    <t>https://www.amazon.co.jp/%E3%82%BC%E3%83%96%E3%83%A9-%E3%82%B8%E3%82%A7%E3%83%AB%E3%83%9C%E3%83%BC%E3%83%AB%E3%83%9A%E3%83%B3-%E3%82%B5%E3%83%A9%E3%82%B5%E3%82%AF%E3%83%AA%E3%83%83%E3%83%97-0-5mm-JJ29-KF-5C/dp/B0DYJQ5GLH/ref=pd_ci_mcx_pspc_dp_d_2_t_3?pd_rd_w=9PcBC&amp;content-id=amzn1.sym.8f1fe2a7-d128-4328-bcac-c2e341dfd86d%3Aamzn1.symc.8c21723d-cd1d-422f-9cc5-7a61ace3c767&amp;pf_rd_p=8f1fe2a7-d128-4328-bcac-c2e341dfd86d&amp;pf_rd_r=WEZ55RMBKF000HZ0BPD8&amp;pd_rd_wg=JkCxH&amp;pd_rd_r=b041411b-b595-4ba2-9092-601825c9e6ca&amp;pd_rd_i=B0DYJQ5GLH</t>
  </si>
  <si>
    <t>01-2601-0082</t>
  </si>
  <si>
    <t>4901681818464</t>
  </si>
  <si>
    <t>https://www.amazon.co.jp/%E3%82%BC%E3%83%96%E3%83%A9-%E3%82%B8%E3%82%A7%E3%83%AB%E3%83%9C%E3%83%BC%E3%83%AB%E3%83%9A%E3%83%B3-%E3%82%B5%E3%83%A9%E3%82%B5%E3%82%AF%E3%83%AA%E3%83%83%E3%83%97-%E3%83%8F%E3%83%AA%E3%83%BC%E3%83%BB%E3%83%9D%E3%83%83%E3%82%BF%E3%83%BC-JJ29-HP-4C/dp/B0FXKX12T6/ref=sr_1_5?crid=20024SRCOS2XV&amp;dib=eyJ2IjoiMSJ9.rWLJSoZyhQrM-SeYB-jDgjwm4IMaMb9JiD8j8KQqQ675-XZbLOQLgO0o4rdO4tMaLSVuBNapfEy287eo6kgFc5GW-KwW_VOaDp3yOKVCUh2NnX1h7JtFx8R0bko_R4-eJuhCtQlcEfHldI8rhupFDIKKlnKTt2SCMZ6fkRfc2J1b_QCp2ilFB9aLMgq4--WqOXedeFFaJovdbF6A4n9nYyK7nPlkwaASrrqgH5J3F1TgfHf7YKQha5e9RUIrI-EP0jusGloMopxf910-z4BwYrUPx9i2SNyMPpYy3u2mv18.THAjTe9AVJhGKLZMZNnHyH-dl-LFpajgvif0flGeLQY&amp;dib_tag=se&amp;keywords=zebra+harry+potter&amp;qid=1768526776&amp;sprefix=zebra+ha%2Caps%2C243&amp;sr=8-5</t>
  </si>
  <si>
    <t>01-2601-0083</t>
  </si>
  <si>
    <t>4901681886388</t>
  </si>
  <si>
    <t>https://www.amazon.co.jp/Piececool-%E7%AB%8B%E4%BD%93%E3%83%91%E3%82%BA%E3%83%AB-%E3%83%A1%E3%82%BF%E3%83%AA%E3%83%83%E3%82%AF%E3%83%8A%E3%83%8E%E3%83%91%E3%82%BA%E3%83%AB-%E3%83%95%E3%83%A9%E3%82%A4%E3%83%B3%E3%82%B0%E3%83%BB%E3%83%80%E3%83%83%E3%83%81%E3%83%9E%E3%83%B3-%E3%82%A2%E3%83%83%E3%83%97%E3%82%B0%E3%83%AC%E3%83%BC%E3%83%89%E7%89%88/dp/B09YT1YSKB/ref=sr_1_59?crid=17D3QITS52M7D&amp;dib=eyJ2IjoiMSJ9.olFbl_N22_DSrBlzMUCjMq1ClVmhyqD1jMvs2qKqIebSN2N1uWOJ0dXNw42MNMYKofI-SfhEypjObxqVlvTzAcnnqodHunxfilePYLilXjrib31J56p_uXdQiMPY8vF6LAiGScN24REfB2-wdseiwkqKDmgdmsNlFPWsNV5Lwi7i8SXzbNM5wuo0StZLfL_396hBzKKwd8y_9VOq3yH5r37o_DxYoss5bt67epn-RnRD2INeKYl3P6RUkAGSFQBOKBLA_-wjtmb3BUE4599h9RJJBta-RY065r2I4cDmfL4.VyZo6BC8MPrp8P3xIqarBkd3QU84UKDT4w1mCiNXlPw&amp;dib_tag=se&amp;keywords=rokr&amp;qid=1768526854&amp;sprefix=rokr%2Caps%2C329&amp;sr=8-59&amp;th=1</t>
  </si>
  <si>
    <t>01-2601-0084</t>
  </si>
  <si>
    <t>https://www.amazon.co.jp/LQHZC%E2%80%8B-%E6%8A%98%E7%95%B3%E3%81%AE%E3%81%93%E3%81%8E%E3%82%8A-%E9%BB%92%E3%83%81%E3%82%BF%E3%83%B3%E3%82%B3%E3%83%BC%E3%83%86%E3%82%A3%E3%83%B3%E3%82%B0-%E5%AE%89%E5%85%A8%E3%83%AD%E3%83%83%E3%82%AF%E4%BB%98%E3%81%8D-%E6%BB%91%E3%82%8A%E6%AD%A2%E3%82%81%E3%82%B0%E3%83%AA%E3%83%83%E3%83%97/dp/B0FP5K8HJB/ref=zg_bs_g_2039536051_d_sccl_14/357-9393567-9939435?th=1</t>
  </si>
  <si>
    <t>01-2601-0085</t>
  </si>
  <si>
    <t>0769016152157</t>
  </si>
  <si>
    <t>https://www.amazon.co.jp/%E3%83%8F%E3%83%8A%E3%83%A4%E3%83%9E-%E3%81%AF%E3%81%9A%E3%82%8B-%E3%82%BC%E3%83%AB%E3%83%80%E3%81%AE%E4%BC%9D%E8%AA%AC-%E3%83%9E%E3%82%B9%E3%82%BF%E3%83%BC%E3%82%BD%E3%83%BC%E3%83%89-075695/dp/B0BVXXJ38P/ref=zg_bs_g_2189598051_d_sccl_7/355-3582507-3163057?th=1</t>
  </si>
  <si>
    <t>01-2601-0086</t>
  </si>
  <si>
    <t>4977513075695</t>
  </si>
  <si>
    <t>https://www.amazon.co.jp/%E3%83%8F%E3%83%8A%E3%83%A4%E3%83%9E-HANAYAMA-%E3%82%AF%E3%83%AA%E3%82%B9%E3%82%BF%E3%83%AB%E3%82%AE%E3%83%A3%E3%83%A9%E3%83%AA%E3%83%BC-%E3%83%8F%E3%83%AD%E3%83%BC%E3%82%AD%E3%83%86%E3%82%A3/dp/B07FGSQT2J/ref=zg_bs_g_2189598051_d_sccl_16/355-3582507-3163057?th=1</t>
  </si>
  <si>
    <t>01-2601-0087</t>
  </si>
  <si>
    <t>4977513076289</t>
  </si>
  <si>
    <t>https://www.amazon.co.jp/FUNPOLA-%E3%83%99%E3%83%8D%E3%83%81%E3%82%A2%E3%81%AE%E6%98%9F-Booknook-LED%E3%83%A9%E3%82%A4%E3%83%88%E4%BB%98%E3%81%8D-%E5%88%9D%E5%BF%83%E8%80%85%E3%82%84%E4%B8%AD%E5%AD%A6%E7%94%9F%E5%90%91%E3%81%91/dp/B0FZ2QTRH1/ref=zg_bs_g_2189598051_d_sccl_33/355-3582507-3163057?th=1</t>
  </si>
  <si>
    <t>01-2601-0088</t>
  </si>
  <si>
    <t>4变体</t>
  </si>
  <si>
    <t>https://www.amazon.co.jp/dp/B0G6MF8H65?tag=webspire_new-22&amp;linkCode=osi&amp;th=1&amp;psc=1</t>
  </si>
  <si>
    <t>01-2601-0089</t>
  </si>
  <si>
    <t>0101重复</t>
  </si>
  <si>
    <t>https://www.amazon.co.jp/%E7%9F%B3%E9%8B%B8%E5%B7%A5%E6%A5%AD-%E7%8F%BE%E5%A0%B4%E5%B1%8B-%E3%82%B1%E3%83%BC%E3%82%B9%E4%BB%98%E6%9E%9D%E5%88%87%E9%8B%B8-135mm/dp/B006QH7WI4/ref=zg_bs_g_2039536051_d_sccl_19/357-9393567-9939435?psc=1</t>
  </si>
  <si>
    <t>01-2601-0090</t>
  </si>
  <si>
    <t>4931025006042</t>
  </si>
  <si>
    <t>https://www.amazon.co.jp/%E3%82%B8%E3%82%B0%E3%82%BD%E3%83%BC%E3%83%91%E3%82%BA%E3%83%AB-%E3%82%A2%E3%83%8B%E3%83%A1%E3%80%8C%E9%AC%BC%E6%BB%85%E3%81%AE%E5%88%83%E3%80%8D-vol-1-300%E3%83%94%E3%83%BC%E3%82%B9-300-3186/dp/B0FW4R5PDJ/ref=sr_1_4_sspa?crid=165EDGQ6XKBBE&amp;dib=eyJ2IjoiMSJ9.YiLAjQwn9kFGR8qJjXztVneWwv3vFoPSoZJQY0-BNUxnbvPHxIh4GCoedgDs2HntfZSBIMksl_HVw24kClhiBsg1vn4u01nLnq7oTloP62CAqmTL0it_frAXJ-Ul1aEcy34QXAjDAvRPQjcdgKmCEV9v1vj4NSVdEyHsgbLdoA-5N0S6uzgyiG8amcJ7hP-GFZa3dW3CgTEDFgbm56hQVP_RIRPNQekWnCC76hZaFRzFC5rtm3Jhj_QOYP1gnaoKxQvNFwrmqJ9GRI7oUgMLpzjPyuTWEE3UMHpTY6WVBs8.zVWUgCrcFwEIEQxbUGnEiXlTAmjsDIWCdby-236Jku0&amp;dib_tag=se&amp;keywords=%E9%AC%BC%E7%81%AD%E4%B9%8B%E5%88%83%E6%8B%BC%E5%9B%BE&amp;qid=1768528730&amp;refinements=p_123%3A311243&amp;rnid=23341432051&amp;sprefix=%E9%AC%BC%E7%81%AD%E4%B9%8B%E5%88%83%2Caps%2C234&amp;sr=8-4-spons&amp;sp_csd=d2lkZ2V0TmFtZT1zcF9hdGY&amp;psc=1</t>
  </si>
  <si>
    <t>01-2601-0091</t>
  </si>
  <si>
    <t>4970381529277</t>
  </si>
  <si>
    <t>https://www.amazon.co.jp/%E8%91%AC%E9%80%81%E3%81%AE%E3%83%95%E3%83%AA%E3%83%BC%E3%83%AC%E3%83%B3-%E3%82%B9%E3%83%86%E3%83%83%E3%82%AB%E3%83%BC-PVC%E6%9D%90%E8%B3%AA-%E9%98%B2%E6%B0%B4%E3%82%B9%E3%83%86%E3%83%83%E3%82%AB%E3%83%BC-%E3%82%B3%E3%83%AC%E3%82%AF%E3%82%B7%E3%83%A7%E3%83%B3/dp/B0GDXFZ223/ref=sr_1_48?crid=9RQITUICNZMP&amp;dib=eyJ2IjoiMSJ9.gmhCn42Cwma9VBqwd0YM5iLXIiO3XqOibqPDLPfWMqYLHALkJDF1-QLotnmIhz9dsXCdnV-2EGbvw0k-OJDMQ7aJ-x5ir0a7gWebKZwUn8oGQluHNGYBHAdqbfCxGxxmr21VNFlE63JIPaLUykubsRw0xK6E5DDSZn-1lSyPGC1Y18juas1DUNlXdjyhIFqC2Em5zNcrviogEDbzGw6jpqF-VPO2TxbMGY_CxkmOe9PcA_1xXgZY7_zhdJJrjAQilQP07bpkhrn7ZYSiICrWBwP2w4RXNSy24-Wbzbr3MsY.i88_sojIt4lnsnshJH_tXbBiSZ3kCw0bLcphOWllfrs&amp;dib_tag=se&amp;keywords=%E8%91%AC%E9%80%81%E3%81%AE%E3%83%95%E3%83%AA%E3%83%BC%E3%83%AC%E3%83%B3%2B%E6%8B%BC%E5%9B%BE&amp;qid=1768529071&amp;sprefix=%E3%82%B8%E3%82%B0%E3%82%BD%E3%83%BC%E3%83%91%E3%82%BA%E3%83%AB%2B%E8%91%AC%E9%80%81%E3%81%AE%E3%83%95%E3%83%AA%E3%83%BC%E3%83%AC%E3%83%B3%2B%E6%8B%BC%E5%9B%BE%2Caps%2C412&amp;sr=8-48&amp;th=1</t>
  </si>
  <si>
    <t>01-2601-0092</t>
  </si>
  <si>
    <t>4977389281107</t>
  </si>
  <si>
    <t>https://www.amazon.co.jp/%E8%91%AC%E9%80%81%E3%81%AE%E3%83%95%E3%83%AA%E3%83%BC%E3%83%AC%E3%83%B3-%E3%82%AD%E3%83%A3%E3%83%A9%E3%82%AF%E3%82%BF%E3%83%BC%E3%82%B7%E3%83%BC%E3%83%B3%E3%82%BA-%EF%BC%8850%C3%9775cm%EF%BC%89-12-615s-EPOCH/dp/B0CT2FS17Z/ref=pd_day0_d_sccl_2_2/355-3582507-3163057?pd_rd_w=E5TOr&amp;content-id=amzn1.sym.3e742e38-2b5e-4207-a2c9-5d5409d6c433&amp;pf_rd_p=3e742e38-2b5e-4207-a2c9-5d5409d6c433&amp;pf_rd_r=ACGNXG0AFMGZJFF534WD&amp;pd_rd_wg=BwNVH&amp;pd_rd_r=9bde88e4-1f43-4604-8063-bc6090dcd6b9&amp;pd_rd_i=B0D9PXHPBK&amp;th=1</t>
  </si>
  <si>
    <t>01-2601-0093</t>
  </si>
  <si>
    <t>4977389281169</t>
  </si>
  <si>
    <t>hello kitty笔记本5set</t>
  </si>
  <si>
    <t>01-2601-0094</t>
  </si>
  <si>
    <t>4964694416263</t>
  </si>
  <si>
    <t>https://www.amazon.co.jp/dp/B07RW7KB6F?tag=webspire_new-22&amp;linkCode=osi&amp;th=1&amp;psc=1</t>
  </si>
  <si>
    <t>01-2601-0095</t>
  </si>
  <si>
    <t>4571164384306</t>
  </si>
  <si>
    <t>https://www.amazon.co.jp/dp/B0FXGS6X6V?tag=webspire_new-22&amp;linkCode=osi&amp;th=1&amp;psc=1</t>
  </si>
  <si>
    <t>01-2601-0096</t>
  </si>
  <si>
    <t>4527516024666</t>
  </si>
  <si>
    <t>https://www.amazon.co.jp/dp/B00CCTU9YY?tag=webspire_new-22&amp;linkCode=osi&amp;th=1&amp;psc=1</t>
  </si>
  <si>
    <t>01-2601-0097</t>
  </si>
  <si>
    <t>4988005770455</t>
  </si>
  <si>
    <t>https://www.amazon.co.jp/dp/B0G394CNLB?tag=webspire_new-22&amp;linkCode=osi&amp;th=1&amp;psc=1</t>
  </si>
  <si>
    <t>01-2601-0098</t>
  </si>
  <si>
    <t>4943674435432</t>
  </si>
  <si>
    <t>https://www.amazon.co.jp/dp/B0FYDX6Z7D?tag=webspire_new-22&amp;linkCode=osi&amp;th=1&amp;psc=1</t>
  </si>
  <si>
    <t>01-2601-0099</t>
  </si>
  <si>
    <t>4571614702940</t>
  </si>
  <si>
    <t>https://store.shopping.yahoo.co.jp/esdigital/10164087.html?sc_e=afvc_shp_3144472</t>
  </si>
  <si>
    <t>01-2601-0100</t>
  </si>
  <si>
    <t>4560423191557</t>
  </si>
  <si>
    <t>https://www.amazon.co.jp/18%E3%82%A8%E3%82%AF%E3%82%B9%E3%83%88%E3%83%A9%E3%82%B9%E3%82%B1%E3%83%BC%E3%83%AB%E5%9B%BD%E7%94%A3%E5%90%8D%E8%BB%8A-%E5%89%B5%E5%88%8A-2026%E5%B9%B4-21-%E5%8F%B7-%E9%9B%91%E8%AA%8C/dp/B0G6MF8H65/ref=pd_sbs_d_sccl_2_3/355-3582507-3163057?pd_rd_w=eLa6J&amp;content-id=amzn1.sym.06c48127-87ed-46e1-9c82-5caa3f707eab&amp;pf_rd_p=06c48127-87ed-46e1-9c82-5caa3f707eab&amp;pf_rd_r=VCMA0SBFFVJ78BS9PE9N&amp;pd_rd_wg=RIn5r&amp;pd_rd_r=d58db1eb-817f-4980-ab1c-c9fb6d3c9939&amp;pd_rd_i=B0G6MF8H65&amp;psc=1</t>
  </si>
  <si>
    <t>01-2601-0101</t>
  </si>
  <si>
    <t>4912305330163</t>
  </si>
  <si>
    <t>https://www.1101.com/store/techo/en/2026/pc/detail_toolstoys/tt_memo_okumi/</t>
  </si>
  <si>
    <t>01-2601-0102</t>
  </si>
  <si>
    <t>https://www.1101.com/store/techo/en/2026/pc/detail_toolstoys/tt_papers_okumi/</t>
  </si>
  <si>
    <t>01-2601-0103</t>
  </si>
  <si>
    <t>https://www.1101.com/store/techo/en/2026/pc/detail_toolstoys/tt_clearfilec_okumi/</t>
  </si>
  <si>
    <t>01-2601-0104</t>
  </si>
  <si>
    <t>https://www.1101.com/store/techo/en/2026/pc/detail_toolstoys/tt_cocc_okumi/</t>
  </si>
  <si>
    <t>01-2601-0105</t>
  </si>
  <si>
    <t>https://www.1101.com/store/techo/en/2026/pc/detail_toolstoys/tt_liner_okumi/</t>
  </si>
  <si>
    <t>https://www.amazon.co.jp/%E5%A5%A5%E8%A6%8B%E4%BC%8A%E4%BB%A3-%E3%81%BB%E3%81%BC%E6%97%A5%E3%81%AE%E4%B8%8B%E6%95%B7%E3%81%8D-HAPPY-taste-%E3%82%AB%E3%82%BA%E3%83%B3%E3%82%B5%E3%82%A4%E3%82%BA%E7%94%A8/dp/B0FG2JVCDV?th=1</t>
  </si>
  <si>
    <t>01-2601-0106</t>
  </si>
  <si>
    <t>set</t>
  </si>
  <si>
    <t>4573630240512</t>
  </si>
  <si>
    <t>https://www.1101.com/store/techo/en/2026/pc/detail_toolstoys/tt_cc_okumi/</t>
  </si>
  <si>
    <t>01-2601-0107</t>
  </si>
  <si>
    <t>https://www.amazon.co.jp/dp/B0DCD2CSS1?tag=webspire_new-22&amp;linkCode=osi&amp;th=1&amp;psc=1</t>
  </si>
  <si>
    <t>01-2601-0108</t>
  </si>
  <si>
    <t>4988031675755</t>
  </si>
  <si>
    <t>https://www.amazon.co.jp/%E3%80%90Amazon-co-jp-%E9%99%90%E5%AE%9A%E3%80%91%E3%82%B7%E3%83%AB%E3%83%90%E3%83%8B%E3%82%A2%E3%83%95%E3%82%A1%E3%83%9F%E3%83%AA%E3%83%BC-%E8%B5%A4%E3%81%84%E5%B1%8B%E6%A0%B9%E3%81%AE%E5%A4%A7%E3%81%8D%E3%81%AA%E3%81%8A%E5%AE%B6-%E5%B1%8B%E6%A0%B9%E8%A3%8F%E3%81%AF%E3%81%B2%E3%81%BF%E3%81%A4%E3%81%AE%E3%81%8A%E9%83%A8%E5%B1%8B-22-RZ/dp/B0BBT9GZ5J/ref=sr_1_1_sspa?crid=2L1N1L8X8E7GY&amp;dib=eyJ2IjoiMSJ9.SpscTIEXrgIcKzrEJ6cefh34U0X21LOcjx472J8jcOsnVKIWjGXyYsWKflM6BUPS2TEoMLTm319CRoIev6kET7JQriElusxqss7RosSabpZA0nLX1ouwCl8hW6cVmS23nBBgg_udd12w7IU0Q0ZAohvCF4S2dngmVnGu1Zo-54VIDI023hGPpQcZIzO0qZePvd6JEe8GaUmFkcWrQqLA1Yo2q9cMy27xP6aaVfODo6eM2SW9DNcA9VR3DgdQ_mPhE6e-ZB35jrZu9CPG1FFPt4M7ND3ZP4U5FH5m0v1y9W4.6OL6uvuO6FxJmSNEddPuJou_Gpxg2CNEXLBsd4xf97c&amp;dib_tag=se&amp;keywords=sylvanian%2Bfamilies&amp;qid=1768886676&amp;sprefix=sylvanian%2Caps%2C243&amp;sr=8-1-spons&amp;sp_csd=d2lkZ2V0TmFtZT1zcF9hdGY&amp;th=1</t>
  </si>
  <si>
    <t>01-2601-0109</t>
  </si>
  <si>
    <t>大件</t>
  </si>
  <si>
    <t>4905040152015</t>
  </si>
  <si>
    <t>https://www.1101.com/store/techo/en/2026/pc/detail_cover/cc26_okumi/</t>
  </si>
  <si>
    <t>01-2601-0110</t>
  </si>
  <si>
    <t>https://www.amazon.co.jp/dp/B000059O4K?tag=webspire_new-22&amp;linkCode=osi&amp;th=1&amp;psc=1</t>
  </si>
  <si>
    <t>01-2601-0111</t>
  </si>
  <si>
    <t>4988001131991</t>
  </si>
  <si>
    <t>https://www.amazon.co.jp/dp/B0CCXJXSLT?tag=webspire_new-22&amp;linkCode=osi&amp;th=1&amp;psc=1</t>
  </si>
  <si>
    <t>01-2601-0112</t>
  </si>
  <si>
    <t>4988031591116</t>
  </si>
  <si>
    <t>https://www.amazon.co.jp/dp/B0G8Y9NPN7?tag=webspire_new-22&amp;linkCode=osi&amp;th=1&amp;psc=1</t>
  </si>
  <si>
    <t>01-2601-0113</t>
  </si>
  <si>
    <t>预售月底上架</t>
  </si>
  <si>
    <t>4988031843574</t>
  </si>
  <si>
    <t>https://www.amazon.co.jp/dp/B003WIT4FY?tag=webspire_new-22&amp;linkCode=osi&amp;th=1&amp;psc=1</t>
  </si>
  <si>
    <t>01-2601-0114</t>
  </si>
  <si>
    <t>4988003392482</t>
  </si>
  <si>
    <t>https://www.amazon.co.jp/dp/B0756M7JDB?tag=webspire_new-22&amp;linkCode=osi&amp;th=1&amp;psc=1</t>
  </si>
  <si>
    <t>01-2601-0115</t>
  </si>
  <si>
    <t>4547366327199</t>
  </si>
  <si>
    <t>https://www.amazon.co.jp/dp/B002CNV3P4?tag=webspire_new-22&amp;linkCode=osi&amp;th=1&amp;psc=1</t>
  </si>
  <si>
    <t>01-2601-0116</t>
  </si>
  <si>
    <t>4988005573513</t>
  </si>
  <si>
    <t>https://www.amazon.co.jp/%E3%82%A8%E3%83%9D%E3%83%83%E3%82%AF%E7%A4%BE%EF%BC%88EPOCH%EF%BC%89-%E3%80%90%E3%83%88%E3%83%AC%E3%83%BC%E3%83%87%E3%82%A3%E3%83%B3%E3%82%B0%E3%82%AB%E3%83%BC%E3%83%89%E3%82%B5%E3%82%A4%E3%82%BA%E3%81%AE%E3%82%B8%E3%82%B0%E3%82%BD%E3%83%BC%E3%83%91%E3%82%BA%E3%83%AB%E3%80%91-58-204-%E3%83%88%E3%83%AC%E3%83%BC%E3%83%87%E3%82%A3%E3%83%B3%E3%82%B0%E3%83%91%E3%82%BA%E3%83%AB-%EF%BC%886%C3%978-6cm%EF%BC%89/dp/B0DTJX6XZK/ref=sr_1_3?crid=9RQITUICNZMP&amp;dib=eyJ2IjoiMSJ9.gmhCn42Cwma9VBqwd0YM5iLXIiO3XqOibqPDLPfWMqYLHALkJDF1-QLotnmIhz9dsXCdnV-2EGbvw0k-OJDMQ7aJ-x5ir0a7gWebKZwUn8oGQluHNGYBHAdqbfCxGxxmr21VNFlE63JIPaLUykubsRw0xK6E5DDSZn-1lSyPGC1Y18juas1DUNlXdjyhIFqC2Em5zNcrviogEDbzGw6jpqF-VPO2TxbMGY_CxkmOe9PcA_1xXgZY7_zhdJJrjAQilQP07bpkhrn7ZYSiICrWBwP2w4RXNSy24-Wbzbr3MsY.i88_sojIt4lnsnshJH_tXbBiSZ3kCw0bLcphOWllfrs&amp;dib_tag=se&amp;keywords=%E8%91%AC%E9%80%81%E3%81%AE%E3%83%95%E3%83%AA%E3%83%BC%E3%83%AC%E3%83%B3%2B%E6%8B%BC%E5%9B%BE&amp;qid=1768529071&amp;sprefix=%E3%82%B8%E3%82%B0%E3%82%BD%E3%83%BC%E3%83%91%E3%82%BA%E3%83%AB%2B%E8%91%AC%E9%80%81%E3%81%AE%E3%83%95%E3%83%AA%E3%83%BC%E3%83%AC%E3%83%B3%2B%E6%8B%BC%E5%9B%BE%2Caps%2C412&amp;sr=8-3&amp;th=1</t>
  </si>
  <si>
    <t>01-2601-0117</t>
  </si>
  <si>
    <t>4977389582044</t>
  </si>
  <si>
    <t>https://shop.shinfuji.co.jp/products/st-261?variant=44274645532895</t>
  </si>
  <si>
    <t>01-2601-0118</t>
  </si>
  <si>
    <t>4953571001975</t>
  </si>
  <si>
    <t>https://www.cdjapan.co.jp/product/NEODAI-93477</t>
  </si>
  <si>
    <t>01-2601-0119</t>
  </si>
  <si>
    <t>https://www.amazon.co.jp/dp/B002WQSVHY?tag=webspire_new-22&amp;linkCode=osi&amp;th=1&amp;psc=1</t>
  </si>
  <si>
    <t>01-2601-0120</t>
  </si>
  <si>
    <t>4988001274001</t>
  </si>
  <si>
    <t>https://www.amazon.co.jp/dp/B0F1F1LGCQ?tag=webspire_new-22&amp;linkCode=osi&amp;th=1&amp;psc=1</t>
  </si>
  <si>
    <t>01-2601-0121</t>
  </si>
  <si>
    <t>4571603150899</t>
  </si>
  <si>
    <t>https://item.rakuten.co.jp/guruguru2/tyct-69338/?scid=af_pc_etc&amp;sc2id=af_106_0_10002231&amp;af_tr_src=i2i_bh__g5_g4&amp;af_tct=t_0_top</t>
  </si>
  <si>
    <t>01-2601-0122</t>
  </si>
  <si>
    <t>4988031681350</t>
  </si>
  <si>
    <t>https://www.amazon.co.jp/dp/B09MD9XN4B?tag=webspire_new-22&amp;linkCode=osi&amp;th=1</t>
  </si>
  <si>
    <t>https://store.shopping.yahoo.co.jp/tomysshop/1225-001035.html?sc_e=afvc_shp_3144472</t>
  </si>
  <si>
    <t>01-2601-0123</t>
  </si>
  <si>
    <t>4573597550020</t>
  </si>
  <si>
    <t>https://www.amazon.co.jp/dp/B0G7RVNVWL?tag=webspire_new-22&amp;linkCode=osi&amp;th=1</t>
  </si>
  <si>
    <t>01-2601-0124</t>
  </si>
  <si>
    <t>0786354046733</t>
  </si>
  <si>
    <t>https://www.amazon.co.jp/%E3%80%902026%E4%BA%BA%E6%B0%97%E5%BA%AD%E5%B8%AB%E6%8E%A8%E8%96%A6%E3%80%91%E5%89%AA%E5%AE%9A%E3%83%90%E3%82%B5%E3%83%9F-Pycuse-2%E6%AE%B5%E9%9A%8E%E8%AA%BF%E7%AF%80%E5%8F%AF%E8%83%BD-SK85%E9%AB%98%E7%82%AD%E7%B4%A0%E9%8B%BC-%E8%BB%BD%E9%87%8F%E5%8C%96%E3%82%A2%E3%83%AB%E3%83%9F%E3%83%8F%E3%83%B3%E3%83%89%E3%83%AB/dp/B0FV8Q36L4/ref=zg_bs_g_392701011_d_sccl_4/357-9393567-9939435?th=1</t>
  </si>
  <si>
    <t>01-2601-0125</t>
  </si>
  <si>
    <t>0755589786646</t>
  </si>
  <si>
    <t>https://www.amazon.co.jp/Garage-Brand-Product-GBP-065-%EF%BC%88%E5%A5%B3%E6%80%A7%E5%B0%82%E7%94%A8%EF%BC%89%E3%80%90%E6%A4%8D%E7%89%A9%E8%82%B2%E6%88%90%E3%81%AE%E3%83%97%E3%83%ADW%E7%9B%A3%E4%BF%AE%E3%80%91%E6%8F%A1%E3%82%8A%E3%82%84%E3%81%99%E3%81%8F%E8%BB%BD%E9%87%8F%E3%81%AA%E3%82%BF%E3%82%A4%E3%83%97%EF%BD%98%E3%82%B5%E3%82%AF%E3%82%B5%E3%82%AF%E5%88%87%E3%82%8C%E3%81%BE%E3%81%99%EF%BC%BBGarageBrandProduct%EF%BC%BD/dp/B0DM8NDFLN/ref=zg_bs_g_392701011_d_sccl_5/357-9393567-9939435?psc=1</t>
  </si>
  <si>
    <t>01-2601-0126</t>
  </si>
  <si>
    <t>4570109807528</t>
  </si>
  <si>
    <t>https://www.amazon.co.jp/SOLODOTO-%E8%BB%BD%E9%87%8F%EF%BC%86%E6%8F%A1%E3%82%8A%E3%82%84%E3%81%99%E3%81%84-%E5%88%87%E3%82%8C%E5%91%B35%E5%80%8D%EF%BD%9C%E6%97%A5%E6%9C%AC%E8%A3%BDSK-5%E9%8B%BC%EF%BC%8C%E8%80%90%E4%B9%85%E6%80%A76%E5%80%8D%EF%BD%9C%E9%8C%86%E3%81%B3%E3%81%AB%E3%81%8F%E3%81%84%EF%BD%9C%E7%96%B2%E3%82%8C%E3%81%AB%E3%81%8F%E3%81%84%E4%BA%BA%E9%96%93%E5%B7%A5%E5%AD%A6%E3%82%A2%E3%83%AB%E3%83%9F%E5%90%88%E9%87%91%E3%82%B0%E3%83%AA%E3%83%83%E3%83%97%EF%BD%9C%E6%9E%9D%E5%88%87%E3%82%8A%E3%83%90%E3%82%B5%E3%83%9F-%E3%81%88%E3%81%A0%E3%81%8D%E3%82%8A%E3%81%B0%E3%81%95%E3%81%BF%EF%BD%9C%E3%82%AE%E3%83%95%E3%83%88%E3%81%AB%E3%82%82-%E4%BA%BA%E6%B0%97%EF%BD%9C2025%E4%BA%BA%E6%B0%97%E5%BA%AD%E5%B8%AB%E3%81%8A%E3%81%99%E3%81%99%E3%82%81%E3%81%AE%E5%89%AA%E5%AE%9A%E3%83%90%E3%82%B5%E3%83%9F/dp/B0FJ8GK33G/ref=zg_bs_g_392701011_d_sccl_6/357-9393567-9939435?psc=1</t>
  </si>
  <si>
    <t>01-2601-0127</t>
  </si>
  <si>
    <t>https://www.amazon.co.jp/LIVINGO-253mm%E3%82%B9%E3%83%88%E3%83%AD%E3%83%B3%E3%82%B0%E4%B8%87%E8%83%BD%E3%81%AF%E3%81%95%E3%81%BF-%E3%83%81%E3%82%BF%E3%83%B3%E3%82%B3%E3%83%BC%E3%83%86%E3%82%A3%E3%83%B3%E3%82%B0-%E3%82%B9%E3%83%86%E3%83%B3%E3%83%AC%E3%82%B9%E9%8B%BC%E8%A3%BD-%E5%A4%9A%E7%9B%AE%E7%9A%84%E5%88%87%E6%96%AD%E5%B7%A5%E5%85%B7/dp/B088B8JZ6P/ref=zg_bs_g_392701011_d_sccl_7/357-9393567-9939435?th=1</t>
  </si>
  <si>
    <t>01-2601-0128</t>
  </si>
  <si>
    <t>0721968264609</t>
  </si>
  <si>
    <t>https://www.amazon.co.jp/gp/aw/d/B0FKB9SV87/?_encoding=UTF8&amp;pd_rd_plhdr=t&amp;aaxitk=fb499e8e7fc29ab4b05a48bc30d23c4d&amp;hsa_cr_id=4980547050603&amp;qid=1768886676&amp;sr=1-2-ac08f2b1-eb5b-4f1a-aa64-9e8f448c33ed&amp;ref_=sbx_s_sparkle_sbtcd_asin_1_img&amp;pd_rd_w=ZTaL0&amp;content-id=amzn1.sym.f0facdbd-e6c4-4c86-85ba-0b3f009056ed%3Aamzn1.sym.f0facdbd-e6c4-4c86-85ba-0b3f009056ed&amp;pf_rd_p=f0facdbd-e6c4-4c86-85ba-0b3f009056ed&amp;pf_rd_r=G5JY8AEZPEGVY61K6ZBN&amp;pd_rd_wg=uBeh3&amp;pd_rd_r=8420df48-752f-413a-a5b3-dfedafaa66b0&amp;th=1</t>
  </si>
  <si>
    <t>01-2601-0129</t>
  </si>
  <si>
    <t>4905040159489</t>
  </si>
  <si>
    <t>https://www.amazon.co.jp/%E5%8D%83%E5%90%89-Senkichi-SGP-22R-%E3%83%A9%E3%83%81%E3%82%A7%E3%83%83%E3%83%88%E5%BC%8F-%E5%89%AA%E5%AE%9A%E9%8B%8F/dp/B003UYTDGA/ref=zg_bs_g_392701011_d_sccl_11/357-9393567-9939435?th=1</t>
  </si>
  <si>
    <t>01-2601-0130</t>
  </si>
  <si>
    <t>4977292628037</t>
  </si>
  <si>
    <t>https://www.amazon.co.jp/%E5%B2%A1%E6%81%92-%E5%89%AA%E5%AE%9A%E9%8B%8F%E3%83%A6%E3%83%8B%E3%83%BC%E3%82%AF-210mm-%E3%83%96%E3%83%AA%E3%82%B9%E3%82%BF%E3%83%BC%E5%85%A5-No-104/dp/B004JKKOZI/ref=zg_bs_g_392701011_d_sccl_17/357-9393567-9939435?th=1</t>
  </si>
  <si>
    <t>01-2601-0131</t>
  </si>
  <si>
    <t>4968779104014</t>
  </si>
  <si>
    <t>https://www.amazon.co.jp/%E3%82%B5%E3%83%9C%E3%83%86%E3%83%B3-%E3%81%B6%E3%81%A9%E3%81%86%E7%94%A8-%E7%99%BA%E8%8A%BD%E4%BF%83%E9%80%B2-MEBUKI-No-B-11/dp/B01ART0FJ4/ref=zg_bs_g_392701011_d_sccl_18/357-9393567-9939435?psc=1</t>
  </si>
  <si>
    <t>01-2601-0132</t>
  </si>
  <si>
    <t>4976365200934</t>
  </si>
  <si>
    <t>https://www.amazon.co.jp/WORKPRO-%E5%89%AA%E5%AE%9A%E3%81%B0%E3%81%95%E3%81%BF-%E5%9C%92%E8%8A%B8%E3%81%B0%E3%81%95%E3%81%BF-%E3%82%B5%E3%82%AF%E3%82%B5%E3%82%AF%E5%88%87%E3%82%8C%E3%82%8B-%E5%AE%89%E5%85%A8%E3%83%AD%E3%83%83%E3%82%AF%E4%BB%98%E3%81%8D/dp/B09ST3DW4K/ref=zg_bs_g_392701011_d_sccl_20/357-9393567-9939435?th=1</t>
  </si>
  <si>
    <t>01-2601-0133</t>
  </si>
  <si>
    <t>0820909775843</t>
  </si>
  <si>
    <t>https://www.amazon.co.jp/%E8%BF%91%E6%AD%A3-CHIKAMASA-B-500SLF-%E3%82%B9%E3%83%86%E3%83%B3%E3%83%AC%E3%82%B9%E3%83%95%E3%83%83%E7%B4%A0%E5%8A%A0%E5%B7%A5%E3%81%B6%E3%81%A9%E3%81%86%E6%89%8B%E5%85%A5%E3%82%8C%E9%8B%8FL%E5%9E%8B/dp/B00JSYLY1I/ref=zg_bs_g_392701011_d_sccl_41/357-9393567-9939435?th=1</t>
  </si>
  <si>
    <t>01-2601-0134</t>
  </si>
  <si>
    <t>4967645013535</t>
  </si>
  <si>
    <t>https://www.amazon.co.jp/%E3%83%AA%E3%83%95%E3%82%A1-ReFa-%E3%82%B7%E3%83%A3%E3%83%B3%E3%83%97%E3%83%BC%E3%83%96%E3%83%A9%E3%82%B7%E3%83%9F%E3%83%AB%E3%82%AF-%E3%82%B7%E3%83%AB%E3%83%90%E3%83%BC/dp/B0DVSL5L19/ref=sr_1_18?crid=1C5IMS2RXPXZZ&amp;dib=eyJ2IjoiMSJ9.bHLRuK1C6OSO_r1Ta4tDJEZEskCeUT4eF_-88bNvAo4k-PNxxIeeRMbp-t2D3jko_7_Lh9Aka0LlBxlXNkX4HQcljXYl-Xlm8FQaZE4QZSZNP6PlFUIoHrdQsm-9NfJIBSNYpQ-IziiRDKPBo-O51eJwO-091fuLA9x6ym33GIussQX4IcPLal-Giaw8DIT3V3zp78oDAMmEq5QjzcI9J08jnlXJRATXqwgrjJnJ8FSozIyyuwso420HwU-l3XPtnFZj4G2bbdYt123mrMkZv6PKhmZeSE5GkvVwxeXShkQ.-xO0vTCciwn2jVz6NRXlKnHGMYi6bkfoCMtlzwsDDIQ&amp;dib_tag=se&amp;keywords=refa&amp;qid=1768889468&amp;sprefix=refa%2Caps%2C238&amp;sr=8-18&amp;th=1</t>
  </si>
  <si>
    <t>01-2601-0135</t>
  </si>
  <si>
    <t>4974011815792</t>
  </si>
  <si>
    <t>https://www.amazon.co.jp/%E5%9D%82%E6%BA%90-%E3%83%8F%E3%83%B3%E3%83%89%E3%82%AF%E3%83%AA%E3%82%A8%E3%83%BC%E3%82%B7%E3%83%A7%E3%83%B3-%E5%8F%A4%E6%B5%81%E3%82%BF%E3%82%A4%E3%83%97-%E3%83%96%E3%83%AB%E3%83%BC-F-170/dp/B001C0CCYE/ref=zg_bs_g_392701011_d_sccl_42/357-9393567-9939435?th=1</t>
  </si>
  <si>
    <t>01-2601-0136</t>
  </si>
  <si>
    <t>4900686703522</t>
  </si>
  <si>
    <t>https://www.amazon.co.jp/%E8%97%A4%E5%85%89-31077-%E6%B1%A0%E3%81%AE%E5%9D%8A%E9%8B%8F-165mm/dp/B00N3TXH96/ref=zg_bs_g_392701011_d_sccl_43/357-9393567-9939435?th=1</t>
  </si>
  <si>
    <t>01-2601-0137</t>
  </si>
  <si>
    <t>4969968310773</t>
  </si>
  <si>
    <t>https://www.amazon.co.jp/%E5%B2%A1%E6%81%92-Okatsune-No-108-%E5%89%AA%E5%AE%9A%E7%9A%AE%E3%82%B5%E3%83%83%E3%82%AF-1%E4%B8%81%E5%85%A5/dp/B003EII5ES/ref=zg_bs_g_392701011_d_sccl_44/357-9393567-9939435?th=1</t>
  </si>
  <si>
    <t>01-2601-0138</t>
  </si>
  <si>
    <t>4968779108005</t>
  </si>
  <si>
    <t>https://www.amazon.co.jp/Iwatani-%E3%82%A4%E3%83%AF%E3%82%BF%E3%83%8B-CB-ABR-1-%E7%82%89%E3%81%B0%E3%81%9F%E7%84%BC%E5%99%A8-%E7%82%99%E3%82%8A%E3%82%84/dp/B01IGHIFV4/ref=pd_day0_d_sccl_2_3/355-3582507-3163057?pd_rd_w=1N3cy&amp;content-id=amzn1.sym.3e742e38-2b5e-4207-a2c9-5d5409d6c433&amp;pf_rd_p=3e742e38-2b5e-4207-a2c9-5d5409d6c433&amp;pf_rd_r=WJTB1WKPDNHAT6S63YJ0&amp;pd_rd_wg=7GjEU&amp;pd_rd_r=247d2701-084b-46fb-beaa-f2493724c340&amp;pd_rd_i=B01IGHIFV4&amp;th=1</t>
  </si>
  <si>
    <t>01-2601-0139</t>
  </si>
  <si>
    <t>4901140907999</t>
  </si>
  <si>
    <t>https://www.amazon.co.jp/%E4%BD%BF%E3%81%84%E3%82%84%E3%81%99MELEJIA-%E5%89%AA%E5%AE%9A%E9%8B%8F%E3%81%95%E3%81%B3%E3%81%AA%E3%81%84-%E3%82%B9%E3%83%86%E3%83%B3%E3%83%AC%E3%82%B9%E3%81%AF%E3%81%95%E3%81%BF-%E6%9E%9D%E5%88%87%E3%82%8A%E9%8B%8F%E3%83%BB%E7%94%9F%E3%81%91%E8%8A%B1%E3%83%BB%E5%89%AA%E5%AE%9A%E6%A4%8D%E7%89%A9%E3%83%BB%E9%89%A2%E6%A4%8D%E3%81%88%E3%83%BB%E6%9E%9C%E7%89%A9%E6%91%98%E3%81%BF-%E6%8F%A1%E3%82%8A%E3%82%84%E3%81%99%E3%81%84%E3%83%8F%E3%82%B5%E3%83%9F/dp/B0B2K39PWX/ref=zg_bs_g_392701011_d_sccl_46/357-9393567-9939435?th=1</t>
  </si>
  <si>
    <t>01-2601-0140</t>
  </si>
  <si>
    <t>0700773259826</t>
  </si>
  <si>
    <t>https://www.amazon.co.jp/%E9%AB%98%E5%84%80-GISUKE-%E3%83%87%E3%82%B6%E3%82%A4%E3%83%B3%E9%8B%8F-%E3%83%95%E3%83%83%E7%B4%A0%E3%82%B3%E3%83%BC%E3%83%86%E3%82%A3%E3%83%B3%E3%82%B0%E5%88%83-105mm/dp/B006JZDAZW/ref=zg_bs_g_392701011_d_sccl_47/357-9393567-9939435?th=1</t>
  </si>
  <si>
    <t>01-2601-0141</t>
  </si>
  <si>
    <t>4907052442931</t>
  </si>
  <si>
    <t>https://www.amazon.co.jp/%E3%82%A2%E3%83%AB%E3%82%B9%E3%82%B3%E3%83%BC%E3%83%9D%E3%83%AC%E3%83%BC%E3%82%B7%E3%83%A7%E3%83%B3-V-8PRO-%E3%82%A2%E3%83%AB%E3%82%B9-%E9%AB%98%E7%B4%9A%E5%89%AA%E5%AE%9A%E9%8B%8F/dp/B00CFDW88W/ref=zg_bs_g_392701011_d_sccl_49/357-9393567-9939435?psc=1</t>
  </si>
  <si>
    <t>01-2601-0142</t>
  </si>
  <si>
    <t>4965280679048</t>
  </si>
  <si>
    <t>https://www.amazon.co.jp/LEATHER-VILLAGE-%E9%9D%A9%E8%A3%BD%E3%82%B8%E3%83%A3%E3%83%BC%E3%83%8A%E3%83%AB-%E3%83%A9%E3%82%B9%E3%83%86%E3%82%A3%E3%83%83%E3%82%AF%E3%83%96%E3%83%A9%E3%82%A6%E3%83%B3%E3%80%817%E3%82%A4%E3%83%B3%E3%83%81%C3%975%E3%82%A4%E3%83%B3%E3%83%81%E3%80%81220%E3%83%9A%E3%83%BC%E3%82%B8-%E3%83%B4%E3%82%A3%E3%83%B3%E3%83%86%E3%83%BC%E3%82%B8%E3%81%AA%E7%99%BD%E7%B4%99%E3%81%AE%E6%97%A5%E8%A8%98%E5%B8%B3%E3%80%82%E6%9B%B8%E3%81%8D%E8%BE%BC%E3%81%BF%E3%80%81%E6%8F%8F%E7%94%BB%E3%80%81%E3%82%B9%E3%82%B1%E3%83%83%E3%83%81%E3%83%96%E3%83%83%E3%82%AF%E3%80%81%E6%97%85%E8%A1%8C%E3%83%8E%E3%83%BC%E3%83%88%E3%81%AB%E6%9C%80%E9%81%A9/dp/B09D98HKXQ/ref=sxbs_pa_sp_search_thematic_btf_sspa?content-id=amzn1.sym.c9fc3167-1645-468c-a34c-ad5184b71e89%3Aamzn1.sym.c9fc3167-1645-468c-a34c-ad5184b71e89&amp;crid=2M8AQG6WYEN55&amp;cv_ct_cx=%E3%81%8A%E3%81%8A%E3%81%8D%E3%81%84%E3%81%BB%E3%81%BC%E6%97%A5%EF%BC%95%E5%B9%B4%E6%89%8B%E5%B8%B3%EF%BC%882026-2030%EF%BC%89&amp;keywords=%E3%81%8A%E3%81%8A%E3%81%8D%E3%81%84%E3%81%BB%E3%81%BC%E6%97%A5%EF%BC%95%E5%B9%B4%E6%89%8B%E5%B8%B3%EF%BC%882026-2030%EF%BC%89&amp;pd_rd_i=B09D98HKXQ&amp;pd_rd_r=1741f6d9-6ef0-4cb4-88ec-f55eb7497408&amp;pd_rd_w=YC2RG&amp;pd_rd_wg=h5xsp&amp;pf_rd_p=c9fc3167-1645-468c-a34c-ad5184b71e89&amp;pf_rd_r=AP675FMF0W9GHTPN0SC5&amp;qid=1768973329&amp;sbo=RZvfv%2F%2FHxDF%2BO5021pAnSA%3D%3D&amp;sprefix=%E3%81%8A%E3%81%8A%E3%81%8D%E3%81%84%E3%81%BB%E3%81%BC%E6%97%A55%E5%B9%B4%E6%89%8B%E5%B8%B3%2B2026-2030%2B%2Caps%2C468&amp;sr=1-3-365a78ba-4fa9-4033-9d76-c706237ba9cd-spons&amp;sp_csd=d2lkZ2V0TmFtZT1zcF9zZWFyY2hfdGhlbWF0aWNfYnRm&amp;th=1</t>
  </si>
  <si>
    <t>01-2601-0143</t>
  </si>
  <si>
    <t>9559676539532</t>
  </si>
  <si>
    <t>https://www.amazon.co.jp/KAKURI-%E5%8F%8E%E7%B4%8D%E3%82%B1%E3%83%BC%E3%82%B9%E4%BB%98-%E5%B9%B3%E9%9D%A2%E3%82%92%E5%89%8A%E3%82%8B-%E3%83%9F%E3%83%8B%E3%82%AB%E3%83%B3%E3%83%8A-41650/dp/B0D5Q7V64H/ref=sr_1_18?__mk_ja_JP=%E3%82%AB%E3%82%BF%E3%82%AB%E3%83%8A&amp;crid=TI3FUL4TJ9HN&amp;dib=eyJ2IjoiMSJ9.oo7GBs5PmIZpIRaO1j2NG_Cm31fNIVC6wBEGu30TYUWKNuuxJ4FE1P8S6OQb-RR-rhIXwgrZQkCFAV152ILbK193mou2qmf0STZWvnIG95nBSlwlLTCWEVz4u6eraLdhi-VKGJWZafBsNqxoEPeAae-91LSL6e5FCZD3_Wcl4swGZNi4uYBt3qgzcxL9vn5TwoJ1C-JDg2U3yfKuJuLBR4_WIO0yA5os0gO1URLFmYK09Fshns5BRcesUGyEVcI_tRPvw8WcxbiLNPbKEbHHhzmnHPqdh1cZrUJRUCJqwKo.zoKFYMZUoRTO-YR4Q2C9Bd_bQFZhbXObkbOTsMB040U&amp;dib_tag=se&amp;keywords=%E8%A7%92%E5%88%A9&amp;qid=1769043302&amp;sprefix=%E8%A7%92%E5%88%A9%2Caps%2C319&amp;sr=8-18&amp;th=1</t>
  </si>
  <si>
    <t>01-2601-0144</t>
  </si>
  <si>
    <t>4969402416504</t>
  </si>
  <si>
    <t>https://www.amazon.co.jp/KAKURI-%E5%8F%8E%E7%B4%8D%E3%82%B1%E3%83%BC%E3%82%B9%E4%BB%98-%E5%B9%B3%E9%9D%A2%E3%82%92%E5%89%8A%E3%82%8B-%E3%83%9F%E3%83%8B%E3%82%AB%E3%83%B3%E3%83%8A-41650/dp/B0D5QC1XX6/ref=sr_1_18?__mk_ja_JP=%E3%82%AB%E3%82%BF%E3%82%AB%E3%83%8A&amp;crid=TI3FUL4TJ9HN&amp;dib=eyJ2IjoiMSJ9.oo7GBs5PmIZpIRaO1j2NG_Cm31fNIVC6wBEGu30TYUWKNuuxJ4FE1P8S6OQb-RR-rhIXwgrZQkCFAV152ILbK193mou2qmf0STZWvnIG95nBSlwlLTCWEVz4u6eraLdhi-VKGJWZafBsNqxoEPeAae-91LSL6e5FCZD3_Wcl4swGZNi4uYBt3qgzcxL9vn5TwoJ1C-JDg2U3yfKuJuLBR4_WIO0yA5os0gO1URLFmYK09Fshns5BRcesUGyEVcI_tRPvw8WcxbiLNPbKEbHHhzmnHPqdh1cZrUJRUCJqwKo.zoKFYMZUoRTO-YR4Q2C9Bd_bQFZhbXObkbOTsMB040U&amp;dib_tag=se&amp;keywords=%E8%A7%92%E5%88%A9&amp;qid=1769043302&amp;sprefix=%E8%A7%92%E5%88%A9%2Caps%2C319&amp;sr=8-18&amp;th=1</t>
  </si>
  <si>
    <t>01-2601-0145</t>
  </si>
  <si>
    <t>https://www.amazon.co.jp/KAKURI-%E5%8F%8E%E7%B4%8D%E3%82%B1%E3%83%BC%E3%82%B9%E4%BB%98-%E5%8F%B3%E6%96%9C%E5%88%833mm-%E5%8F%B3%E6%96%9C%E5%88%837mm-%E4%B8%89%E8%A7%92%E5%88%834mm/dp/B002TYZQT0/ref=sr_1_28?__mk_ja_JP=%E3%82%AB%E3%82%BF%E3%82%AB%E3%83%8A&amp;crid=TI3FUL4TJ9HN&amp;dib=eyJ2IjoiMSJ9.oo7GBs5PmIZpIRaO1j2NG_Cm31fNIVC6wBEGu30TYUWKNuuxJ4FE1P8S6OQb-RR-rhIXwgrZQkCFAV152ILbK193mou2qmf0STZWvnIG95nBSlwlLTCWEVz4u6eraLdhi-VKGJWZafBsNqxoEPeAae-91LSL6e5FCZD3_Wcl4swGZNi4uYBt3qgzcxL9vn5TwoJ1C-JDg2U3yfKuJuLBR4_WIO0yA5os0gO1URLFmYK09Fshns5BRcesUGyEVcI_tRPvw8WcxbiLNPbKEbHHhzmnHPqdh1cZrUJRUCJqwKo.zoKFYMZUoRTO-YR4Q2C9Bd_bQFZhbXObkbOTsMB040U&amp;dib_tag=se&amp;keywords=%E8%A7%92%E5%88%A9&amp;qid=1769043302&amp;sprefix=%E8%A7%92%E5%88%A9%2Caps%2C319&amp;sr=8-28</t>
  </si>
  <si>
    <t>01-2601-0146</t>
  </si>
  <si>
    <t>https://www.amazon.co.jp/%E9%AB%98%E5%84%80-%E3%82%BF%E3%82%AB%E3%82%AE-4907052121508-%E6%9C%A8%E5%B7%A5%E7%94%A8-3%E6%9C%AC%E7%B5%84/dp/B00G8PR66W/ref=zg_bs_g_2039562051_d_sccl_1/357-9393567-9939435?th=1</t>
  </si>
  <si>
    <t>01-2601-0147</t>
  </si>
  <si>
    <t>4907052121508</t>
  </si>
  <si>
    <t>https://www.amazon.co.jp/EZARC-%E5%88%87%E3%82%8C%E5%91%B3%E6%8A%9C%E7%BE%A4-%E8%BF%BD%E5%85%A5%E3%81%AE%E3%81%BF-%E3%83%97%E3%83%AD%E4%BB%95%E6%A7%98-%E3%83%96%E3%83%A9%E3%83%83%E3%82%AF%E3%82%AF%E3%83%AB%E3%83%9F/dp/B07HMWMZW1/ref=zg_bs_g_2039562051_d_sccl_2/357-9393567-9939435?th=1</t>
  </si>
  <si>
    <t>01-2601-0148</t>
  </si>
  <si>
    <t>0611553064090</t>
  </si>
  <si>
    <t>https://www.amazon.co.jp/%E6%9C%A8%E5%B7%A5%E5%B9%B3%E3%83%8E%E3%83%9F-4%E6%9C%AC%E3%82%BB%E3%83%83%E3%83%88-%E3%82%AF%E3%83%AD%E3%83%A0%E3%83%90%E3%83%8A%E3%82%B8%E3%82%A6%E3%83%A0%E9%8B%BC-%E3%81%AE%E3%81%BF%E3%82%BB%E3%83%83%E3%83%88-%E5%88%87%E3%82%8C%E5%91%B3%E6%8A%9C%E7%BE%A4/dp/B0DJ39635R/ref=zg_bs_g_2039562051_d_sccl_3/357-9393567-9939435?th=1</t>
  </si>
  <si>
    <t>01-2601-0149</t>
  </si>
  <si>
    <t>https://www.amazon.co.jp/%E6%9C%A8%E5%B7%A5%E5%B9%B3%E3%83%8E%E3%83%9F-4%E6%9C%AC%E3%82%BB%E3%83%83%E3%83%88-%E3%82%AF%E3%83%AD%E3%83%A0%E3%83%90%E3%83%8A%E3%82%B8%E3%82%A6%E3%83%A0%E9%8B%BC-%E3%81%AE%E3%81%BF%E3%82%BB%E3%83%83%E3%83%88-%E5%88%87%E3%82%8C%E5%91%B3%E6%8A%9C%E7%BE%A4/dp/B0DJ3B9VKX/ref=zg_bs_g_2039562051_d_sccl_3/357-9393567-9939435?th=1</t>
  </si>
  <si>
    <t>01-2601-0150</t>
  </si>
  <si>
    <t>https://www.amazon.co.jp/%E6%9C%A8%E5%B7%A5%E5%B9%B3%E3%83%8E%E3%83%9F-4%E6%9C%AC%E3%82%BB%E3%83%83%E3%83%88-%E3%82%AF%E3%83%AD%E3%83%A0%E3%83%90%E3%83%8A%E3%82%B8%E3%82%A6%E3%83%A0%E9%8B%BC-%E3%81%AE%E3%81%BF%E3%82%BB%E3%83%83%E3%83%88-%E5%88%87%E3%82%8C%E5%91%B3%E6%8A%9C%E7%BE%A4/dp/B0DJ3CCLWH/ref=zg_bs_g_2039562051_d_sccl_3/357-9393567-9939435?th=1</t>
  </si>
  <si>
    <t>01-2601-0151</t>
  </si>
  <si>
    <t>https://www.amazon.co.jp/%E9%AB%98%E5%84%80-%E3%82%BF%E3%82%AB%E3%82%AE-4907052121508-%E6%9C%A8%E5%B7%A5%E7%94%A8-3%E6%9C%AC%E7%B5%84/dp/B00G8PR5GI/ref=zg_bs_g_2039562051_d_sccl_1/357-9393567-9939435?th=1</t>
  </si>
  <si>
    <t>01-2601-0152</t>
  </si>
  <si>
    <t>4907052121515</t>
  </si>
  <si>
    <t>https://www.amazon.co.jp/cocoriko-4%E6%9C%AC%E3%82%BB%E3%83%83%E3%83%88-%E3%82%AF%E3%83%AD%E3%83%A0%E3%83%90%E3%83%8A%E3%82%B8%E3%82%A6%E3%83%A0%E9%8B%BC-%E5%8F%8E%E7%B4%8D%E8%A2%8B%E4%BB%98%E3%81%8D-%E5%B9%B3%E3%83%8E%E3%83%9F4%E6%9C%AC%EF%BC%88%E4%B8%AD%E7%82%AD%E7%B4%A0%E9%8B%BC%EF%BC%89/dp/B0G6YM23QW/ref=zg_bs_g_2039562051_d_sccl_4/357-9393567-9939435?th=1</t>
  </si>
  <si>
    <t>01-2601-0153</t>
  </si>
  <si>
    <t>4571623017332</t>
  </si>
  <si>
    <t>https://www.amazon.co.jp/cocoriko-4%E6%9C%AC%E3%82%BB%E3%83%83%E3%83%88-%E3%82%AF%E3%83%AD%E3%83%A0%E3%83%90%E3%83%8A%E3%82%B8%E3%82%A6%E3%83%A0%E9%8B%BC-%E5%8F%8E%E7%B4%8D%E8%A2%8B%E4%BB%98%E3%81%8D-%E5%B9%B3%E3%83%8E%E3%83%9F4%E6%9C%AC%EF%BC%88%E4%B8%AD%E7%82%AD%E7%B4%A0%E9%8B%BC%EF%BC%89/dp/B0G14DQF4J/ref=zg_bs_g_2039562051_d_sccl_4/357-9393567-9939435?th=1</t>
  </si>
  <si>
    <t>01-2601-0154</t>
  </si>
  <si>
    <t>https://www.amazon.co.jp/cocoriko-4%E6%9C%AC%E3%82%BB%E3%83%83%E3%83%88-%E3%82%AF%E3%83%AD%E3%83%A0%E3%83%90%E3%83%8A%E3%82%B8%E3%82%A6%E3%83%A0%E9%8B%BC-%E5%8F%8E%E7%B4%8D%E8%A2%8B%E4%BB%98%E3%81%8D-%E5%B9%B3%E3%83%8E%E3%83%9F4%E6%9C%AC%EF%BC%88%E4%B8%AD%E7%82%AD%E7%B4%A0%E9%8B%BC%EF%BC%89/dp/B0G14DMHV9/ref=zg_bs_g_2039562051_d_sccl_4/357-9393567-9939435?th=1</t>
  </si>
  <si>
    <t>01-2601-0155</t>
  </si>
  <si>
    <t>同上上</t>
  </si>
  <si>
    <t>https://www.amazon.co.jp/Amazon%E3%83%99%E3%83%BC%E3%82%B7%E3%83%83%E3%82%AF-Amazon-Basics-DS-CHAMZ004-%E7%B4%840-6-3-8cm/dp/B07V8X5W5R/ref=zg_bs_g_2039562051_d_sccl_5/357-9393567-9939435?th=1</t>
  </si>
  <si>
    <t>01-2601-0156</t>
  </si>
  <si>
    <t>0672352801606</t>
  </si>
  <si>
    <t>https://www.amazon.co.jp/Gunpla-%E3%83%97%E3%83%AC%E3%83%9F%E3%82%A2%E3%83%A0%E6%9C%A8%E8%A3%BD%E5%BD%AB%E5%88%BB%E5%88%80%E3%82%BB%E3%83%83%E3%83%88-%E3%82%BD%E3%83%95%E3%83%88%E3%82%B0%E3%83%AA%E3%83%83%E3%83%97%E3%83%8F%E3%83%B3%E3%83%89%E3%83%AB-W%E3%83%8F%E3%83%B3%E3%83%9E%E3%83%BC-%E3%82%B9%E3%83%81%E3%83%BC%E3%83%AB%E3%82%A8%E3%83%B3%E3%83%89%E3%82%AD%E3%83%A3%E3%83%83%E3%83%97/dp/B07354ZYZN/ref=zg_bs_g_2039562051_d_sccl_6/357-9393567-9939435?th=1</t>
  </si>
  <si>
    <t>01-2601-0157</t>
  </si>
  <si>
    <t>0761780380781</t>
  </si>
  <si>
    <t>https://www.amazon.co.jp/%E6%9C%A8%E5%B7%A5%E7%94%A8%E3%83%8E%E3%83%9F-%E6%97%A5%E6%9B%9C%E5%A4%A7%E5%B7%A5-%E5%A4%A7%E5%B7%A5%E9%81%93%E5%85%B7-%E6%9C%A8%E6%9D%90%E5%8A%A0%E5%B7%A5%E5%B7%A5%E5%85%B7-%E6%9C%A8%E6%9D%90%E3%81%AE%E6%BA%9D%E6%8E%98%E3%82%8A%E3%80%81%E4%BB%95%E4%B8%8A%E3%81%92%E3%80%81%E9%9D%A2%E5%8F%96%E3%82%8A%E3%80%81%E6%9C%A8%E5%BD%AB%E3%82%8A%E3%81%AA%E3%81%A9%E3%81%AB/dp/B098P47829/ref=zg_bs_g_2039562051_d_sccl_7/357-9393567-9939435?psc=1</t>
  </si>
  <si>
    <t>01-2601-0158</t>
  </si>
  <si>
    <t>9440672657040</t>
  </si>
  <si>
    <t>https://www.amazon.co.jp/%E5%A4%A7%E4%BA%94%E9%83%8E-Daigoro-11638-%E6%9C%A8%E5%BD%AB%E3%81%AE%E3%81%BF-9%E3%83%BB15%E3%83%BB24mm/dp/B00GSJJHJW/ref=zg_bs_g_2039562051_d_sccl_12/357-9393567-9939435?psc=1</t>
  </si>
  <si>
    <t>01-2601-0159</t>
  </si>
  <si>
    <t>4969968116382</t>
  </si>
  <si>
    <t>https://store.shopping.yahoo.co.jp/e-tool-shopping/0088381830553.html</t>
  </si>
  <si>
    <t>01-2601-0160</t>
  </si>
  <si>
    <t>0088381830553</t>
  </si>
  <si>
    <t>https://www.amazon.co.jp/Briskyjp-%E3%83%81%E3%82%BC%E3%83%AB%E3%82%BB%E3%83%83%E3%83%88%E3%80%81PVC%E3%82%B4%E3%83%A0%E3%82%B9%E3%83%AA%E3%83%BC%E3%83%96%E4%BB%98%E3%81%8D%E7%9F%B3%E5%B7%A5%E3%83%81%E3%82%BC%E3%83%AB%E3%80%81%E3%83%95%E3%83%A9%E3%83%83%E3%83%88%E3%83%81%E3%82%BC%E3%83%AB%E3%82%BB%E3%83%A1%E3%83%B3%E3%83%88%E3%83%81%E3%82%BC%E3%83%AB%E3%80%81%E7%9F%B3%E3%83%81%E3%82%BC%E3%83%AB-300mm/dp/B0CD2H5C37/ref=zg_bs_g_2039562051_d_sccl_13/357-9393567-9939435?th=1</t>
  </si>
  <si>
    <t>01-2601-0161</t>
  </si>
  <si>
    <t>https://www.amazon.co.jp/%E9%AB%98%E6%A9%8B-2026%E5%B9%B4-4%E6%9C%88%E5%A7%8B%E3%81%BE%E3%82%8A-5%E5%B9%B4%E5%8D%93%E4%B8%8A%E6%97%A5%E8%AA%8C-No-953/dp/B0G1135XJ5/ref=sr_1_3?crid=3U4STR9NU1HMY&amp;dib=eyJ2IjoiMSJ9.0S5dj6ZzAPxwYPerMRAzX_VHvSCq5MAmNGX7nOFXQFPfYdZwK0Xs8MwYJTT_fjqbY2e8UuiVQDkRWd3SPomPOcacIJhfX6vAzPk0QfMkDqxVB1nVeZR636fnyjKVaom_qg4fmtxqM_RndhcNjgGQXb9hISyeWLInTNnWL0qBOmofgECgGzR4bAFARXaxLLONbit6s7rExvYH4gGxJuIxV3yFvP1NMcMnmJa-J-9bySHGzh4HaUzYYBsNM-2EvgoLG7zL0NdnRb09rBc9bWl7WZENQ2mRPY7Yww19Za5xMJs.EBHdQ1PDgU-SIxauD5l_JeCAlIkIXeB1VSbWhrvztyQ&amp;dib_tag=se&amp;keywords=%E9%AB%98%E6%A9%8B%2B%E6%89%8B%E5%B8%B3%2B2026%E5%B9%B4%2BA5%2B5%E5%B9%B4&amp;qid=1769066271&amp;sprefix=%E9%AB%98%E6%A9%8B%2B%E6%89%8B%E5%B8%B3%2B2026%E5%B9%B4%2Ba5%2B5%E5%B9%B4%2Caps%2C216&amp;sr=8-3&amp;th=1</t>
  </si>
  <si>
    <t>01-2601-0162</t>
  </si>
  <si>
    <t>4517163859537</t>
  </si>
  <si>
    <t>https://www.amazon.co.jp/dp/B0FY2PKJGM?tag=webspire_new-22&amp;linkCode=osi&amp;th=1&amp;psc=1</t>
  </si>
  <si>
    <t>01-2601-0163</t>
  </si>
  <si>
    <t>4571614702858</t>
  </si>
  <si>
    <t>https://www.amazon.co.jp/dp/B0G72JZLFF?tag=webspire_new-22&amp;linkCode=osi&amp;th=1&amp;psc=1</t>
  </si>
  <si>
    <t>01-2601-0164</t>
  </si>
  <si>
    <t>4988031833186</t>
  </si>
  <si>
    <t>https://www.amazon.co.jp/dp/B0FHPXMKYH?tag=webspire_new-22&amp;linkCode=osi&amp;th=1&amp;psc=1</t>
  </si>
  <si>
    <t>01-2601-0165</t>
  </si>
  <si>
    <t>4580055368288</t>
  </si>
  <si>
    <t>https://www.amazon.co.jp/dp/B00HI7SCT4?tag=webspire_new-22&amp;linkCode=osi&amp;th=1&amp;psc=1</t>
  </si>
  <si>
    <t>01-2601-0166</t>
  </si>
  <si>
    <t>4988061864617</t>
  </si>
  <si>
    <t>https://www.amazon.co.jp/dp/B0G5HL7595?tag=webspire_new-22&amp;linkCode=osi&amp;th=1&amp;psc=1</t>
  </si>
  <si>
    <t>https://tower.jp/ec/StoreProcure/StoreProcureItem.aspx?iid=7536230</t>
  </si>
  <si>
    <t>01-2601-0167</t>
  </si>
  <si>
    <t>4988002950713</t>
  </si>
  <si>
    <t>https://www.amazon.co.jp/dp/B0FZSZF7Y2?tag=webspire_new-22&amp;linkCode=osi&amp;th=1&amp;psc=1</t>
  </si>
  <si>
    <t>01-2601-0168</t>
  </si>
  <si>
    <t>4543034054091</t>
  </si>
  <si>
    <t>https://www.amazon.co.jp/dp/B0G5X46GHJ?tag=webspire_new-22&amp;linkCode=osi&amp;th=1&amp;psc=1</t>
  </si>
  <si>
    <t>01-2601-0169</t>
  </si>
  <si>
    <t>4988031841792</t>
  </si>
  <si>
    <t>https://www.amazon.co.jp/dp/B0CS913VBL?tag=webspire_new-22&amp;linkCode=osi&amp;th=1&amp;psc=1</t>
  </si>
  <si>
    <t>01-2601-0170</t>
  </si>
  <si>
    <t>4988104115904</t>
  </si>
  <si>
    <t>https://www.amazon.co.jp/dp/B01MRKSQVD?tag=webspire_new-22&amp;linkCode=osi&amp;th=1&amp;psc=1</t>
  </si>
  <si>
    <t>01-2601-0171</t>
  </si>
  <si>
    <t>4988031148419</t>
  </si>
  <si>
    <t>https://www.amazon.co.jp/%E5%8A%87%E5%A0%B4%E3%82%A2%E3%83%8B%E3%83%A1-%E3%83%AB%E3%83%83%E3%82%AF%E3%83%90%E3%83%83%E3%82%AF-Blu-ray-%E9%80%9A%E5%B8%B8%E7%89%88-Blu-ray-%E6%8A%BC%E5%B1%B1%E6%B8%85%E9%AB%98/dp/B0FV2TY9P3/ref=tmm_blu_swatch_0</t>
  </si>
  <si>
    <t>01-2601-0172</t>
  </si>
  <si>
    <t>4580055368813</t>
  </si>
  <si>
    <t>https://item.rakuten.co.jp/guruguru2/uicy-79717/?scid=af_pc_etc&amp;sc2id=af_106_0_10002231&amp;af_tr_src=i2i_bh__g5_g4&amp;af_tct=t_0_top</t>
  </si>
  <si>
    <t>01-2601-0173</t>
  </si>
  <si>
    <t>4988031444504</t>
  </si>
  <si>
    <t>https://www.amazon.co.jp/dp/B0DTK8VTQ9?tag=webspire_new-22&amp;linkCode=osi&amp;th=1&amp;psc=1</t>
  </si>
  <si>
    <t>https://www.ebay.com/itm/156992619790?nordt=true&amp;orig_cvip=true&amp;rt=nc</t>
  </si>
  <si>
    <t>01-2601-0174</t>
  </si>
  <si>
    <t>4573592715943</t>
  </si>
  <si>
    <t>https://www.ebay.com/itm/297745768436</t>
  </si>
  <si>
    <t>01-2601-0175</t>
  </si>
  <si>
    <t>同0181</t>
  </si>
  <si>
    <t>https://www.amazon.co.jp/CHIIKAWA-2WAY-QUILTING-%E3%81%A1%E3%81%84%E3%81%8B%E3%82%8Fver-%E5%AE%9D%E5%B3%B6%E7%A4%BE%E3%83%96%E3%83%A9%E3%83%B3%E3%83%89%E3%83%A0%E3%83%83%E3%82%AF/dp/4299068904/ref=sr_1_3?crid=3HVI24B1VWE6J&amp;dib=eyJ2IjoiMSJ9.wWVJKotTGM3MIJs-znZMJJYbvbrj4U3uvNeJ8vbATxgdP3yp6iT841_VVvEuw8JLaDYOnxtLFvTBjSgnA1JoMRCp5irEqtDRa8qMKVHZkeo.jdpKNmxcaOQq_iADHmfRbMbrkO807dVuAQlsHiDFRj8&amp;dib_tag=se&amp;keywords=CHIIKAWA+2WAY+QUILTING+BAG&amp;qid=1769494594&amp;sprefix=chiikawa+2way+quilting+bag%2Caps%2C204&amp;sr=8-3</t>
  </si>
  <si>
    <t>01-2601-0176</t>
  </si>
  <si>
    <t>4299068904</t>
  </si>
  <si>
    <t>https://www.amazon.co.jp/CHIIKAWA-2WAY-QUILTING-%E3%83%8F%E3%83%81%E3%83%AF%E3%83%ACver-%E5%AE%9D%E5%B3%B6%E7%A4%BE%E3%83%96%E3%83%A9%E3%83%B3%E3%83%89%E3%83%A0%E3%83%83%E3%82%AF/dp/4299068920/ref=sr_1_2?crid=3HVI24B1VWE6J&amp;dib=eyJ2IjoiMSJ9.wWVJKotTGM3MIJs-znZMJJYbvbrj4U3uvNeJ8vbATxgdP3yp6iT841_VVvEuw8JLaDYOnxtLFvTBjSgnA1JoMRCp5irEqtDRa8qMKVHZkeo.jdpKNmxcaOQq_iADHmfRbMbrkO807dVuAQlsHiDFRj8&amp;dib_tag=se&amp;keywords=CHIIKAWA+2WAY+QUILTING+BAG&amp;qid=1769494594&amp;sprefix=chiikawa+2way+quilting+bag%2Caps%2C204&amp;sr=8-2</t>
  </si>
  <si>
    <t>01-2601-0177</t>
  </si>
  <si>
    <t>9784299068927</t>
  </si>
  <si>
    <t>https://www.amazon.co.jp/CHIIKAWA-2WAY-QUILTING-%E3%81%86%E3%81%95%E3%81%8Ever-%E5%AE%9D%E5%B3%B6%E7%A4%BE%E3%83%96%E3%83%A9%E3%83%B3%E3%83%89%E3%83%A0%E3%83%83%E3%82%AF/dp/4299068947/ref=sr_1_1?crid=3HVI24B1VWE6J&amp;dib=eyJ2IjoiMSJ9.wWVJKotTGM3MIJs-znZMJJYbvbrj4U3uvNeJ8vbATxgdP3yp6iT841_VVvEuw8JLaDYOnxtLFvTBjSgnA1JoMRCp5irEqtDRa8qMKVHZkeo.jdpKNmxcaOQq_iADHmfRbMbrkO807dVuAQlsHiDFRj8&amp;dib_tag=se&amp;keywords=CHIIKAWA+2WAY+QUILTING+BAG&amp;qid=1769494594&amp;sprefix=chiikawa+2way+quilting+bag%2Caps%2C204&amp;sr=8-1</t>
  </si>
  <si>
    <t>01-2601-0178</t>
  </si>
  <si>
    <t>9784299068941</t>
  </si>
  <si>
    <t>https://www.amazon.co.jp/dp/B00KKMV0P2?ref=emc_s_m_5_i_atc&amp;th=1</t>
  </si>
  <si>
    <t>01-2601-0179</t>
  </si>
  <si>
    <t>4903585404651</t>
  </si>
  <si>
    <t>https://www.amazon.co.jp/dp/B002GKB5Q0?ref=emc_s_m_5_i_atc&amp;th=1</t>
  </si>
  <si>
    <t>01-2601-0180</t>
  </si>
  <si>
    <t>4903585404507</t>
  </si>
  <si>
    <t>https://www.amazon.co.jp/dp/B00KI75BB8?ref=emc_s_m_5_i_atc&amp;th=1</t>
  </si>
  <si>
    <t>atrrd.valuecommerce.com/resolve/7ff403bd2b3?u=https%3A%2F%2Fvcentry3.valuecommerce.ne.jp%2Fcgi-bin%2F2201292%2F2201292_entry.php%3FITRACK_INFO%3D088293490302152107260127080900%26COOKIE_PATH%3D%2F%26COOKIE_DOMAIN%3D.yahoo.co.jp%26VIEW_URL%3Dhttps%253A%252F%252Fshopping.yahoo.co.jp%252F%26REFERRER%3DaHR0cHM6Ly93d3cuc2FpeWFzdW5lLmNvbS8%26COOKIE_EXPIRES%3DThu%2C%252026%2520Feb%25202026%252008%3A09%3A00%2520GMT%26vcptn%3DaXhynAAPI1w7hIyuCooFYQqKB0Le1w%26_v%3D1%26vp%3D882934903%26vs%3D3144472%26vc_url%3Dhttps%253A%252F%252Fstore.shopping.yahoo.co.jp%252Fearth-c%252Fs-b00ki75bb8-20240319.html&amp;iti=088293490302152107260127080900&amp;ct=1769501340992&amp;mid=2201292&amp;cid=aXhynAAPI1w7hIyuCooFYQqKB0Le1w&amp;_v=1&amp;ref=https%3A%2F%2Fwww.saiyasune.com%2F&amp;vf=iVBORw0KGgoAAAANSUhEUgAAAAMAAAADCAYAAABWKLW%2FAAAAM0lEQVR4AQAnANj%2FAgEWAP9pds3%2F9AAN%2FwJbOTsAGxx1ABaK9AACEbtPAIJGigDjdv8AAAAA%2F%2F9s2WGZAAAABklEQVQDAAqiDZxPNKMmAAAAAElFTkSuQmCC</t>
  </si>
  <si>
    <t>01-2601-0181</t>
  </si>
  <si>
    <t>4571483820059</t>
  </si>
  <si>
    <t>https://www.amazon.co.jp/KATSUHIKO-%E5%89%B5%E6%A5%AD%E6%96%87%E6%94%BF%E5%85%83%E5%B9%B4%E4%BA%AC%E9%83%BD%E8%80%81%E8%88%97%E8%8C%B6%E5%B8%AB%E5%8E%B3%E9%81%B8-%E6%9C%80%E9%AB%98%E7%B4%9A%E5%AE%87%E6%B2%BB%E6%9C%89%E6%A9%9F%E6%8A%B9%E8%8C%B6-%E5%B8%8C%E5%B0%91%E3%81%AA%E3%82%AA%E3%83%BC%E3%82%AC%E3%83%8B%E3%83%83%E3%82%AF-%E3%80%8C%E3%83%97%E3%83%AC%E3%83%9F%E3%82%A2%E3%83%A0%E3%82%BB%E3%83%AC%E3%83%A2%E3%83%8B%E3%83%BC%E3%82%B0%E3%83%AC%E3%83%BC%E3%83%89/dp/B0GDS4FMRR/ref=sr_1_1?crid=278I2UQ16NGH4&amp;dib=eyJ2IjoiMSJ9.PL1Yo4JkcSdMiqw_EBFsks34jY1WjvUQdpl-hMLMZzrg5I8MCqHlLmK7kgqY6DeqcaoFFfhikSa4dWSOL6aaHD3F5FaQCYwWntANWOsq32sX2fGuE1MLtsiK-pbF6EHuYEZThmp9kVmQCDiV68GzW4PFyI_GKKTCRpXPS0QzvE6Z9nhPGG2kBZMNidpc7WYEoSaM-KlbQ6YLTeKwP0PUW3OxLU42ApngJ0UgWGqMAL7lo6d_NKgJF7fXA3TGD5tgVJUmzkelDcQFsgZPJxeyRwl4zrtJxnrbXpE9VI-Gyck.bLdZeX1_sAWLn4qHo_impLgIQzdvkmAgfwnd_zUEPEs&amp;dib_tag=se&amp;keywords=%E8%B1%AA%E5%BD%A6&amp;qid=1769570807&amp;sprefix=%E8%B1%AA%E5%BD%A6%2Caps%2C454&amp;sr=8-1&amp;th=1</t>
  </si>
  <si>
    <t>01-2601-0182</t>
  </si>
  <si>
    <t>3变体</t>
  </si>
  <si>
    <t>https://www.amazon.co.jp/%E8%8D%92%E7%95%91%E5%9C%92-%E5%AF%8C%E5%A3%AB%E9%BB%84%E9%87%91%E7%BC%B6-70g%C3%972%E6%9C%AC-%E3%82%AE%E3%83%95%E3%83%88%E3%82%BB%E3%83%83%E3%83%88-%E3%83%97%E3%83%AC%E3%82%BC%E3%83%B3%E3%83%88/dp/B0CMWXWBF7/ref=pd_vtp_d_sccl_1_5/355-3582507-3163057?pd_rd_w=tlE1A&amp;content-id=amzn1.sym.289d93c5-bb87-47e6-b56c-76ff89f5333d&amp;pf_rd_p=289d93c5-bb87-47e6-b56c-76ff89f5333d&amp;pf_rd_r=XEM7DCQ48CBN567ST1KJ&amp;pd_rd_wg=e1PZU&amp;pd_rd_r=5fee8901-bdda-48fd-a638-9c44f3b0c095&amp;pd_rd_i=B0CMWXWBF7&amp;th=1</t>
  </si>
  <si>
    <t>01-2601-0183</t>
  </si>
  <si>
    <t>2变体</t>
  </si>
  <si>
    <t>https://www.amazon.co.jp/%E3%82%B7%E3%83%AB%E3%82%AD%E3%83%BC-%E6%8A%98%E8%BE%BC%E9%8B%B8-%E3%83%93%E3%83%83%E3%82%B0%E3%83%9C%E3%83%BC%E3%82%A4-360mm-352-36/dp/B0014C4R3E/ref=sr_1_9?crid=3NV9YTO9R95BA&amp;dib=eyJ2IjoiMSJ9.03RGCEtU3GKYfCZFM_WFAN5PIGnXiPJmt2iRogDr818CIp3WqBym6wEdnxLInJI_q8W_khYEG7lu3ttoGnTV5WBvHnBUdRq24VkLtEPGhTGo_mCPScSPrIOeUJoCzllcJGeK681hI9tccgSnGCFclOrLgzSDWbgqVI2XJw_nQ6bFsabbJ8vmTD4pNYHBqQhg7irBEmgbfI1RbhghAYrEzWgD6tT52bvgCXWDaMeTVvWMce-5PBrY-iFsgb6HqMGLEm_RR9P-Y2iIVdjlV39_8d3yVM-kiDOe2zn5erxwmI8.y60rA_mUhErHCphvzP7MZXoNDrimkYHTiE8ntrgurzE&amp;dib_tag=se&amp;keywords=Silky+360mm&amp;qid=1769647526&amp;sprefix=silky+360m%27m%2Caps%2C219&amp;sr=8-9</t>
  </si>
  <si>
    <t>01-2601-0184</t>
  </si>
  <si>
    <t>4903585352365</t>
  </si>
  <si>
    <t>https://www.amazon.co.jp/%E3%82%B0%E3%83%AC%E3%82%A4%E3%83%BB%E3%83%91%E3%83%BC%E3%82%AB%E3%83%BC%E3%83%BB%E3%82%B5%E3%83%BC%E3%83%93%E3%82%B9-Gray-Parker-Service-%E3%82%82%E3%81%A1%E3%81%A3%E3%81%A8%E3%81%AC%E3%81%84%E3%81%90%E3%82%8B%E3%81%BFS/dp/B0BK361NWF/ref=sr_1_2?__mk_ja_JP=%E3%82%AB%E3%82%BF%E3%82%AB%E3%83%8A&amp;crid=1RNI6OEXEH7US&amp;dib=eyJ2IjoiMSJ9.aEJrJGyjlxno82rGoYRW2vSwOITfgMxVEFXY0-1T3ARHfufNxen_4H1tq6OMkFOxpw83o0WLUdv2Dj852Shie0Ado8Ede9czkgDVbplbxCVXReVB-c0Nu-PdjNqfwXSbfVQ7Xx13U6hHNezhN4zzeIISFme0TB2Ag7w3ZAQhoJAuSuhpT1eXtEyIoQLKb4pgiyc6W3OX9C0IJz5ajVWmMl14AQaHUtwt4wywFZSzIYB-NaVOq2nXl_jOMbxtw0avGntJx1-yPrwVjVrZ5UWZ4-tWFwubuZmcwJwlWxrJ2iI.4L0DgeZClKnOHhTcSKmn959e1SiaLBQ_sHmKO6Po1Qk&amp;dib_tag=se&amp;keywords=hachiware+plush+doll+stuffed+toy+s+hikawa+anime+250mm&amp;qid=1769668272&amp;sprefix=hachiware+plush+doll+stuffed+toy+s+chiikawa+anime+250mm%2Caps%2C305&amp;sr=8-2</t>
  </si>
  <si>
    <t>https://www.ebay.com/itm/236249149558?nordt=true&amp;orig_cvip=true&amp;rt=nc</t>
  </si>
  <si>
    <t>01-2601-0185</t>
  </si>
  <si>
    <t>4582662917835</t>
  </si>
  <si>
    <t>https://www.amazon.co.jp/%E3%82%B0%E3%83%AC%E3%82%A4%E3%83%BB%E3%83%91%E3%83%BC%E3%82%AB%E3%83%BC%E3%83%BB%E3%82%B5%E3%83%BC%E3%83%93%E3%82%B9-Gray-Parker-Service-%E3%82%82%E3%81%A1%E3%81%A3%E3%81%A8%E3%81%AC%E3%81%84%E3%81%90%E3%82%8B%E3%81%BFS/dp/B0BK38K9V1/ref=sr_1_2?__mk_ja_JP=%E3%82%AB%E3%82%BF%E3%82%AB%E3%83%8A&amp;crid=2FQTNELGKPYAI&amp;dib=eyJ2IjoiMSJ9.kGmLd1lSXPWYLJWLI8BHYGUImu_ZGJDXq1PMGWWI9zuoAoEI384ts0jZuzmIKx4bOWEoZmuCsVhs31gQ4oYqGyoaUu7NjMfUWwXXsIB44xmyeaMvPZ44j63p7xj9GH3_n5diSw8b-XBaQeAVQuz_4pOfH9Gx9kJW_iP_Ilz1RhnzbP7WjFrmq-Bq3JG7hpaqBGK6SeRyehPixqEOPiBUpCmwiVLpKuvlbaVQY3dk6l1XBGQqpIASgwyGQEm6TxEjGQ1_j-okLoiTWQy_SWdqzf-qnxfvZDmnFiP-zZMAl0A.1RZtA_8yrf5Ueh-CTreUbWNL8fYqS28RLXO3fHywcLA&amp;dib_tag=se&amp;keywords=2024+new%2FChiikawa+Plush+Doll+Stuffed+Toy+S+Chiikawa+Anime+250mm&amp;qid=1769668864&amp;sprefix=2024+new%2Fchiikawa+plush+doll+stuffed+toy+s+chiikawa+anime+250mm%2Caps%2C228&amp;sr=8-2</t>
  </si>
  <si>
    <t>https://www.ebay.com/itm/236249154027?nordt=true&amp;orig_cvip=true&amp;rt=nc</t>
  </si>
  <si>
    <t>01-2601-0186</t>
  </si>
  <si>
    <t>4582662917842</t>
  </si>
  <si>
    <t>https://www.amazon.co.jp/%E3%82%B0%E3%83%AC%E3%82%A4%E3%83%BB%E3%83%91%E3%83%BC%E3%82%AB%E3%83%BC%E3%83%BB%E3%82%B5%E3%83%BC%E3%83%93%E3%82%B9-Gray-Parker-Service-%E3%82%82%E3%81%A1%E3%81%A3%E3%81%A8%E3%81%B7%E3%81%A1%E3%83%9F%E3%83%8B%E3%83%9E%E3%82%B9%E3%82%B3%E3%83%83%E3%83%88/dp/B0BK38VW4T/ref=sr_1_8?crid=8D6QUTSJMRNY&amp;dib=eyJ2IjoiMSJ9.hTpKjhkJVjyF1GARFdtFx3TLslUZY0u4bcl6va7u0kROHVWXMZQe-UFZ9vgBx6I-fyo6_tNuOSllHedeT2ucMquaquWHAossY0gMM0nKhPA2mnXluL40D_FtjYYvYPfFXmhXcuaJ1MBK9OYBmHDrS0fHXzhrN0AmByuZdi0nOi0WaOAR0I4_uzPKtG5sliuVr0pC8Fp7NR5BXfp0IHc1m4P5cu_w2a3CbpiKHJMHmM7xQtNeJ3cq4yus-t1FCaGDzV1xt5sosIrVSPfYLktE-NZpooSO-u17vYcL4RXUc38.fDs5BneF_vU4AhXai11kdDAE_rm0s4-1Ba5JrW_-Om8&amp;dib_tag=se&amp;keywords=chiikawa&amp;qid=1769669597&amp;s=toys&amp;sprefix=chii%2Ctoys%2C214&amp;sr=1-8</t>
  </si>
  <si>
    <t>01-2601-0187</t>
  </si>
  <si>
    <t>4582662917873</t>
  </si>
  <si>
    <t>https://www.amazon.co.jp/%E3%83%8F%E3%83%BC%E3%83%88-Heart-%E3%81%A1%E3%81%84%E3%81%8B%E3%82%8F%E3%83%81%E3%83%A7%E3%82%B3%E3%83%91%E3%83%BC%E3%83%86%E3%82%A3%E7%BC%B6-%E6%BA%96%E3%83%81%E3%83%A7%E3%82%B3%E3%83%AC%E3%83%BC%E3%83%88-%E9%A3%9F%E7%8E%A9/dp/B0FVD6XBMX/ref=sr_1_1?__mk_ja_JP=%E3%82%AB%E3%82%BF%E3%82%AB%E3%83%8A&amp;crid=6AN0KTC4NVR6&amp;dib=eyJ2IjoiMSJ9.spUtyUGy2HQFd1PWfW5FXOnxtlUnmRXtQ3ahSZ4hmQpd8MCk6fItFXQvmt5_MwZ2n5ZBxodwyhq9KUcYKDhzQ2HU5jI7Dtti8DS_iD2xyfsJqrHvMzfPH0Yx2M_tnpMqFe8opV5FQi6zpla4CUWJcuvNjR0Tow8e9rQUzs_jXV5Rc4bcwLZYXsNsgsyBvH-x3kHKqpm2_anWhObO5yVX8dEFnOOBEf74JHZUk8Zr-lw.ML3ed4hMJj-eMM2_FYQzS9DMKm5Nu0VKeHNLEi-zyZs&amp;dib_tag=se&amp;keywords=Chiikawa+Chocolate+Valentine+Nagano+Plus&amp;qid=1769670310&amp;sprefix=chiikawa+chocolate+valentine+nagano+plus%2Caps%2C324&amp;sr=8-1</t>
  </si>
  <si>
    <t>01-2601-0188</t>
  </si>
  <si>
    <t>4977629661324</t>
  </si>
  <si>
    <t>https://www.amazon.co.jp/-/en/Chiikawa-Sitting-Gashapon-Hachiwaret-Rabbit/dp/B0CF3ZM5NP</t>
  </si>
  <si>
    <t>01-2601-0189</t>
  </si>
  <si>
    <t>https://www.amazon.co.jp/dp/B0F3CRHZHQ?tag=webspire_new-22&amp;linkCode=osi&amp;th=1&amp;psc=1</t>
  </si>
  <si>
    <t>https://www.ebay.com/itm/357922847378?nordt=true&amp;orig_cvip=true&amp;rt=nc</t>
  </si>
  <si>
    <t>01-2601-0190</t>
  </si>
  <si>
    <t>4573102676085</t>
  </si>
  <si>
    <t>https://www.amazon.co.jp/dp/B0G23FMWNK?tag=webspire_new-22&amp;linkCode=osi&amp;th=1</t>
  </si>
  <si>
    <t>https://www.ebay.com/itm/389417119345?nordt=true&amp;orig_cvip=true&amp;rt=nc</t>
  </si>
  <si>
    <t>01-2601-0191</t>
  </si>
  <si>
    <t>4582769900730</t>
  </si>
  <si>
    <t>https://amzn.asia/d/iS1NRf9</t>
  </si>
  <si>
    <t>01-2601-0192</t>
  </si>
  <si>
    <t>4901881209857</t>
  </si>
  <si>
    <t>https://amzn.asia/d/0BVGpcQ</t>
  </si>
  <si>
    <t>01-2601-0193</t>
  </si>
  <si>
    <t>https://amzn.asia/d/fcucpjj</t>
  </si>
  <si>
    <t>01-2601-0194</t>
  </si>
  <si>
    <t>https://amzn.asia/d/bsck7y9</t>
  </si>
  <si>
    <t>01-2601-0195</t>
  </si>
  <si>
    <t>https://amzn.asia/d/0BeG1Wa</t>
  </si>
  <si>
    <t>01-2601-0196</t>
  </si>
  <si>
    <t>https://amzn.asia/d/0P17pL5</t>
  </si>
  <si>
    <t>01-2601-0197</t>
  </si>
  <si>
    <t>https://amzn.asia/d/4bEkmNF</t>
  </si>
  <si>
    <t>01-2601-0198</t>
  </si>
  <si>
    <t>https://amzn.asia/d/dtxOrzf</t>
  </si>
  <si>
    <t>01-2601-0199</t>
  </si>
  <si>
    <t>4902778319697</t>
  </si>
  <si>
    <t>https://amzn.asia/d/5tEaIsV</t>
  </si>
  <si>
    <t>01-2601-0200</t>
  </si>
  <si>
    <t>https://amzn.asia/d/0NA2X2X</t>
  </si>
  <si>
    <t>01-2601-0201</t>
  </si>
  <si>
    <t>6007795109226</t>
  </si>
  <si>
    <t>https://amzn.asia/d/cAyI0YR</t>
  </si>
  <si>
    <t>01-2601-0202</t>
  </si>
  <si>
    <t>4902778202869</t>
  </si>
  <si>
    <t>https://amzn.asia/d/4W5UDRu</t>
  </si>
  <si>
    <t>01-2601-0203</t>
  </si>
  <si>
    <t xml:space="preserve"> 4902778255131</t>
  </si>
  <si>
    <t>https://amzn.asia/d/26SKSzG</t>
  </si>
  <si>
    <t>01-2601-0204</t>
  </si>
  <si>
    <t>变体</t>
  </si>
  <si>
    <t>4902805128834</t>
  </si>
  <si>
    <t>https://amzn.asia/d/iFBLACn</t>
  </si>
  <si>
    <t>01-2601-0205</t>
  </si>
  <si>
    <t>https://amzn.asia/d/6S08Y6l</t>
  </si>
  <si>
    <t>01-2601-0206</t>
  </si>
  <si>
    <t>4902778322291</t>
  </si>
  <si>
    <t>https://amzn.asia/d/iSKTGNg</t>
  </si>
  <si>
    <t>01-2601-0207</t>
  </si>
  <si>
    <t>变体2</t>
  </si>
  <si>
    <t>4571607694498</t>
  </si>
  <si>
    <t>https://amzn.asia/d/d6ext0a</t>
  </si>
  <si>
    <t>01-2601-0208</t>
  </si>
  <si>
    <t>2100000002207</t>
  </si>
  <si>
    <t>https://amzn.asia/d/aOI24gX</t>
  </si>
  <si>
    <t>01-2601-0209</t>
  </si>
  <si>
    <t>4974011852360</t>
  </si>
  <si>
    <t>https://amzn.asia/d/73y9tCd</t>
  </si>
  <si>
    <t>01-2601-0210</t>
  </si>
  <si>
    <t>4974011852308</t>
  </si>
  <si>
    <t>https://amzn.asia/d/7H1vwd1</t>
  </si>
  <si>
    <t>01-2601-0211</t>
  </si>
  <si>
    <t>强调日本电压</t>
  </si>
  <si>
    <t>变体7色</t>
  </si>
  <si>
    <t>https://amzn.asia/d/3Qb83l8</t>
  </si>
  <si>
    <t>01-2601-0212</t>
  </si>
  <si>
    <t>4595122898032</t>
  </si>
  <si>
    <t>https://amzn.asia/d/9DNRHmP</t>
  </si>
  <si>
    <t>01-2601-0213</t>
  </si>
  <si>
    <t>2100000002214</t>
  </si>
  <si>
    <t>https://amzn.asia/d/gCJGHEP</t>
  </si>
  <si>
    <t>01-2601-0214</t>
  </si>
  <si>
    <t>4974011814962</t>
  </si>
  <si>
    <t>https://amzn.asia/d/7huZy99</t>
  </si>
  <si>
    <t>01-2601-0215</t>
  </si>
  <si>
    <t>强调男士使用</t>
  </si>
  <si>
    <t xml:space="preserve">  4580634173401</t>
  </si>
  <si>
    <t>https://amzn.asia/d/2bFWnQL</t>
  </si>
  <si>
    <t>01-2601-0216</t>
  </si>
  <si>
    <t>4550337067475</t>
  </si>
  <si>
    <t>https://amzn.asia/d/fW3k33T</t>
  </si>
  <si>
    <t>01-2601-0217</t>
  </si>
  <si>
    <t>4990270165041</t>
  </si>
  <si>
    <t>https://amzn.asia/d/9NP37HN</t>
  </si>
  <si>
    <t>01-2601-0218</t>
  </si>
  <si>
    <t>https://amzn.asia/d/hbiBsBI</t>
  </si>
  <si>
    <t>01-2601-0219</t>
  </si>
  <si>
    <t>4580095496590</t>
  </si>
  <si>
    <t>https://amzn.asia/d/9VfnAIb</t>
  </si>
  <si>
    <t>01-2601-0220</t>
  </si>
  <si>
    <t xml:space="preserve"> 4550624363891</t>
  </si>
  <si>
    <t>https://amzn.asia/d/2f8ykBU</t>
  </si>
  <si>
    <t>01-2601-0221</t>
  </si>
  <si>
    <t>4550337454602</t>
  </si>
  <si>
    <t>https://amzn.asia/d/ddh98Jq</t>
  </si>
  <si>
    <t>01-2601-0222</t>
  </si>
  <si>
    <t>8变体</t>
  </si>
  <si>
    <t>4550624115001</t>
  </si>
  <si>
    <t>https://amzn.asia/d/20nviFC</t>
  </si>
  <si>
    <t>01-2601-0223</t>
  </si>
  <si>
    <t>4550337637050</t>
  </si>
  <si>
    <t>https://amzn.asia/d/7z7txNs</t>
  </si>
  <si>
    <t>01-2601-0224</t>
  </si>
  <si>
    <t>4550624548342</t>
  </si>
  <si>
    <t>https://www.amazon.co.jp/dp/B0D1XR81NP?tag=webspire_new-22&amp;linkCode=osi&amp;th=1</t>
  </si>
  <si>
    <t>https://www.ebay.com/itm/147115249212?nordt=true&amp;orig_cvip=true&amp;rt=nc</t>
  </si>
  <si>
    <t>01-2601-0225</t>
  </si>
  <si>
    <t>4905040156150</t>
  </si>
  <si>
    <t>https://www.amazon.co.jp/%E3%82%B7%E3%83%AB%E3%83%90%E3%83%8B%E3%82%A2%E3%83%95%E3%82%A1%E3%83%9F%E3%83%AA%E3%83%BC-%E3%83%9B%E3%82%A4%E3%83%83%E3%83%97%E3%82%AD%E3%83%BC%E3%83%81%E3%82%A7%E3%83%BC%E3%83%B3%E3%82%AD%E3%83%83%E3%83%88-%EF%BC%88%E3%83%81%E3%83%A7%E3%82%B3%E3%83%9F%E3%83%B3%E3%83%88%EF%BC%89-W-170-EPOCH/dp/B0G3ZXP14R/ref=sr_1_1?__mk_ja_JP=%E3%82%AB%E3%82%BF%E3%82%AB%E3%83%8A&amp;crid=1MF3L0PMS1FRP&amp;dib=eyJ2IjoiMSJ9.D9f3OUjz6r9QhzNxYsmBBHdMISJfHxd6lqXYCJfZJ1Q.iMDwjLAxl_axeTJTZ62t-q81srf4OgVbgA8pzxe6Zts&amp;dib_tag=se&amp;keywords=NEW+Whipple+Sylvanian+Families+Whip+Keychain+Kit+Choco+Mint+W-170+Japan+Toy+F%2FS&amp;qid=1770101766&amp;sprefix=new+whipple+sylvanian+families+whip+keychain+kit+choco+mint+w-170+japan+toy+f%2Fs%2Caps%2C264&amp;sr=8-1</t>
  </si>
  <si>
    <t>https://www.ebay.com/itm/317699481912?nordt=true&amp;orig_cvip=true&amp;rt=nc</t>
  </si>
  <si>
    <t>01-2601-0226</t>
  </si>
  <si>
    <t>4905040323705</t>
  </si>
  <si>
    <t>https://www.amazon.co.jp/dp/B0DR85FPYT?tag=webspire_new-22&amp;linkCode=osi&amp;th=1</t>
  </si>
  <si>
    <t>https://www.ebay.com/itm/396371069262?nordt=true&amp;orig_cvip=true&amp;rt=nc</t>
  </si>
  <si>
    <t>01-2601-0227</t>
  </si>
  <si>
    <t>https://www.ebay.com/itm/127475525577?nordt=true&amp;orig_cvip=true&amp;rt=nc</t>
  </si>
  <si>
    <t>01-2601-0228</t>
  </si>
  <si>
    <t>https://www.amazon.co.jp/%E3%83%A6%E3%83%BC%E3%82%A8%E3%83%A0%E5%B7%A5%E6%A5%AD-270-33-%E3%82%B7%E3%83%AB%E3%82%AD%E3%83%BC-%E3%82%BA%E3%83%90%E3%83%83%E3%83%88-330mm/dp/B0014C4QMG/ref=sr_1_1?dib=eyJ2IjoiMSJ9.wxE9dbpwTMqHFDG1A_2po7OOgU2mqfNbqAi8YaiCcgc4Xv05HynDJKFUQnNw_cB0DYrRRBX2PPGdsDrB31rEyja1vq9xfPNAXJrqDVIlLGXea94OSJeXb6xjixnWWWOsUPcF42I44PEBw8FmVeNfHQ.XYsMhYUIzJ04NUEbdzU84NzATda1bA33X1LzMBVkMx4&amp;dib_tag=se&amp;keywords=silky%2B330m&amp;qid=1769751392&amp;sr=8-1&amp;th=1</t>
  </si>
  <si>
    <t>https://www.ebay.com/itm/406442021196?nordt=true&amp;orig_cvip=true&amp;rt=nc</t>
  </si>
  <si>
    <t>01-2601-0229</t>
  </si>
  <si>
    <t>4903585270331</t>
  </si>
  <si>
    <t>https://www.amazon.co.jp/%E3%83%A6%E3%83%BC%E3%82%A8%E3%83%A0%E5%B7%A5%E6%A5%AD-Silky-%E7%89%87%E5%88%83%E3%81%AE%E3%81%93%E3%81%8E%E3%82%8A-%E3%82%B9%E3%82%B4%E3%82%A4-390-33/dp/B07SM279TK/ref=sr_1_5?dib=eyJ2IjoiMSJ9.wxE9dbpwTMqHFDG1A_2po7OOgU2mqfNbqAi8YaiCcgc4Xv05HynDJKFUQnNw_cB0DYrRRBX2PPGdsDrB31rEyja1vq9xfPNAXJrqDVIlLGXea94OSJeXb6xjixnWWWOsUPcF42I44PEBw8FmVeNfHQ.XYsMhYUIzJ04NUEbdzU84NzATda1bA33X1LzMBVkMx4&amp;dib_tag=se&amp;keywords=silky+330m&amp;qid=1769751392&amp;sr=8-5</t>
  </si>
  <si>
    <t>https://www.ebay.com/itm/406161365431?nordt=true&amp;orig_cvip=true&amp;rt=nc</t>
  </si>
  <si>
    <t>01-2601-0230</t>
  </si>
  <si>
    <t>4903585390336</t>
  </si>
  <si>
    <t>https://www.1101.com/store/techo/en/2026/pc/detail_cover/oc26_unsodo/</t>
  </si>
  <si>
    <t>01-2601-0231</t>
  </si>
  <si>
    <t>Bijutsukai (Wild Rabbits)A6</t>
  </si>
  <si>
    <t>https://www.1101.com/store/techo/en/2026/pc/detail_cover/cc26_unsodo/</t>
  </si>
  <si>
    <t>01-2601-0232</t>
  </si>
  <si>
    <t>Bijutsukai (Wild Rabbits)A5</t>
  </si>
  <si>
    <t>https://www.1101.com/store/techo/en/2026/pc/detail_cover/wb26_unsodo/</t>
  </si>
  <si>
    <t>01-2601-0233</t>
  </si>
  <si>
    <t>Bijutsukai (Wild Rabbits)Weekly Horizontal</t>
  </si>
  <si>
    <t>https://www.1101.com/store/techo/en/2026/pc/detail_toolstoys/tt_letter_unsodo/</t>
  </si>
  <si>
    <t>01-2601-0234</t>
  </si>
  <si>
    <t>Bijutsukai - Mini Letter Set</t>
  </si>
  <si>
    <t>https://www.1101.com/store/techo/en/2026/pc/detail_cover/cc25_unsodo/</t>
  </si>
  <si>
    <t>01-2601-0235</t>
  </si>
  <si>
    <t>Shin-Bijutsukai (Flower)A5 Cousin</t>
  </si>
  <si>
    <t>https://www.1101.com/store/techo/en/2026/pc/detail_toolstoys/tt_pochi_unsodo/</t>
  </si>
  <si>
    <t>01-2601-0236</t>
  </si>
  <si>
    <t>Unsodo: Bijutsukai - Mini Envelopes</t>
  </si>
  <si>
    <t>https://www.1101.com/store/techo/en/2026/pc/detail_cover/wb26_kitagishi/</t>
  </si>
  <si>
    <t>01-2601-0237</t>
  </si>
  <si>
    <t>无货</t>
  </si>
  <si>
    <t>Yumi Kitagishi(2026年4月）</t>
  </si>
  <si>
    <t>https://www.muji.com/jp/ja/store/cmdty/detail/4548076418801?noScroll=true</t>
  </si>
  <si>
    <t>01-2601-0238</t>
  </si>
  <si>
    <t>4548076418801</t>
  </si>
  <si>
    <t>https://www.amazon.co.jp/%E3%82%BF%E3%82%AB%E3%83%A9%E3%83%88%E3%83%9F%E3%83%BC-%E3%83%AA%E3%82%AB%E3%81%A1%E3%82%83%E3%82%93-LD-16-VERY%E3%82%B3%E3%83%A9%E3%83%9C-%E3%82%B3%E3%83%BC%E3%83%87%E3%82%A3%E3%83%8D%E3%83%BC%E3%83%88%E3%83%AA%E3%82%AB%E3%81%A1%E3%82%83%E3%82%93/dp/B0CJTKRK3H?ref_=pd_ci_mcx_mh_pe_im_d1_hxwPPE_sspa_dk_det_cao_p_35_1&amp;pd_rd_i=B0CJTKRK3H&amp;pd_rd_w=hQPPx&amp;content-id=amzn1.sym.e5d36e95-56e6-4920-8c3f-a72cb8ed51ff&amp;pf_rd_p=e5d36e95-56e6-4920-8c3f-a72cb8ed51ff&amp;pf_rd_r=V1Y68S4VJAZVRMZJ4B4J&amp;pd_rd_wg=Zr7a7&amp;pd_rd_r=a962fd18-266f-4841-8c0f-7c7e25d02fd5</t>
  </si>
  <si>
    <t>01-2601-0239</t>
  </si>
  <si>
    <t>变体？</t>
  </si>
  <si>
    <t>4904810910190</t>
  </si>
  <si>
    <t>https://www.1101.com/store/techo/en/magazine/contents/y26_kitagishi/2rkyvmhlr.html</t>
  </si>
  <si>
    <t>01-2601-0240</t>
  </si>
  <si>
    <t>北岸由美配件7set</t>
  </si>
  <si>
    <t>https://www.muji.com/jp/ja/store/cmdty/detail/4548076418962</t>
  </si>
  <si>
    <t>01-2601-0241</t>
  </si>
  <si>
    <t xml:space="preserve"> 4548076418962</t>
  </si>
  <si>
    <t>https://www.muji.com/jp/ja/store/cmdty/detail/4548076418955</t>
  </si>
  <si>
    <t>01-2601-0242</t>
  </si>
  <si>
    <t>4548076418955</t>
  </si>
  <si>
    <t>https://www.muji.com/jp/ja/store/cmdty/detail/4548076418948</t>
  </si>
  <si>
    <t>01-2601-0243</t>
  </si>
  <si>
    <t>4548076418948</t>
  </si>
  <si>
    <t>https://www.muji.com/jp/ja/store/cmdty/detail/4548076418894</t>
  </si>
  <si>
    <t>01-2601-0244</t>
  </si>
  <si>
    <t>4548076418894</t>
  </si>
  <si>
    <t>https://www.muji.com/jp/ja/store/cmdty/detail/4548076418863</t>
  </si>
  <si>
    <t>01-2601-0245</t>
  </si>
  <si>
    <t>4548076418863</t>
  </si>
  <si>
    <t>https://www.muji.com/jp/ja/store/cmdty/detail/4548076418771</t>
  </si>
  <si>
    <t>01-2601-0246</t>
  </si>
  <si>
    <t>4548076418771</t>
  </si>
  <si>
    <t>https://www.muji.com/jp/ja/store/cmdty/detail/4548076418764</t>
  </si>
  <si>
    <t>01-2601-0247</t>
  </si>
  <si>
    <t xml:space="preserve"> 4548076418764</t>
  </si>
  <si>
    <t>https://www.muji.com/jp/ja/store/cmdty/detail/4548076418757</t>
  </si>
  <si>
    <t>01-2601-0248</t>
  </si>
  <si>
    <t xml:space="preserve"> 4548076418757</t>
  </si>
  <si>
    <t>https://www.muji.com/jp/ja/store/cmdty/detail/4548076418740</t>
  </si>
  <si>
    <t>01-2601-0249</t>
  </si>
  <si>
    <t>4548076418740</t>
  </si>
  <si>
    <t>https://www.muji.com/jp/ja/store/cmdty/detail/4548076418733</t>
  </si>
  <si>
    <t>01-2601-0250</t>
  </si>
  <si>
    <t>4548076418733</t>
  </si>
  <si>
    <t>https://www.amazon.co.jp/%E3%83%87%E3%83%97%E3%82%B9-%E3%82%B5%E3%82%AB%E3%83%9E%E3%82%BF%E3%82%B7%E3%83%A3%E3%83%83%E3%83%89-deps-SAKAMATA-%E3%82%A6%E3%82%A9%E3%83%BC%E3%82%BF%E3%83%BC%E3%83%A1%E3%83%AD%E3%83%B3%E3%83%97%E3%83%AD%E3%83%96%E3%83%AB%E3%83%BC/dp/B09C2C892S/ref=sr_1_6?crid=Z5QQ0581W93T&amp;dib=eyJ2IjoiMSJ9.tlnjSq41PdkFfGAPDq-5KvSATowk4yZwzwVJzxurLctubi2JZN7Ewjd-k39SsXIzzPNsw8MAanidbzZiuOewxUvQL1bXO5T-Eni9QEzxTnquFXManI3A-CWHwmAudF0qlGIXZGMX-kELED1NLfvLGHOszesF2jt1VRWMyLpbSxsnTgdZv7L88-WqW57jLnEPEby8Dpbx_uy7jo96S2EH2ZmLFp5ArFlL8KvxDsiZt-Av8oftdultB68grHi85-qULNpyT47tWPH2qzCx7OKM4WLw-PFnk_spdxeY3CSWKeU.ycyBuwxSZMRVQg52vTL4uVKKVPTTW7fmJdgsjQ8pRQI&amp;dib_tag=se&amp;keywords=deps+sakamata+shad&amp;qid=1770002512&amp;sprefix=deps%2Caps%2C355&amp;sr=8-6</t>
  </si>
  <si>
    <t>01-2601-0251</t>
  </si>
  <si>
    <t>deps lure</t>
  </si>
  <si>
    <t>https://www.amazon.co.jp/dp/B09X5T9C98?tag=webspire_new-22&amp;linkCode=osi&amp;th=1&amp;psc=1</t>
  </si>
  <si>
    <t>01-2601-0252</t>
  </si>
  <si>
    <t>4988031505847</t>
  </si>
  <si>
    <t>https://www.amazon.co.jp/dp/B01GW02ZSQ?tag=webspire_new-22&amp;linkCode=osi&amp;th=1&amp;psc=1</t>
  </si>
  <si>
    <t>01-2601-0253</t>
  </si>
  <si>
    <t>4988031161838</t>
  </si>
  <si>
    <t>https://www.amazon.co.jp/dp/B0GF1ZKQ6H?tag=webspire_new-22&amp;linkCode=osi&amp;th=1&amp;psc=1</t>
  </si>
  <si>
    <t>01-2601-0254</t>
  </si>
  <si>
    <t>2.13预售</t>
  </si>
  <si>
    <t>4988031850299</t>
  </si>
  <si>
    <t>https://www.amazon.co.jp/dp/B00005UD3T?tag=webspire_new-22&amp;linkCode=osi&amp;th=1&amp;psc=1</t>
  </si>
  <si>
    <t>01-2601-0255</t>
  </si>
  <si>
    <t>4988017607299</t>
  </si>
  <si>
    <t>https://www.uniqlo.com/jp/ja/products/E474768-000/00?colorDisplayCode=50&amp;sizeDisplayCode=120</t>
  </si>
  <si>
    <t>01-2601-0257</t>
  </si>
  <si>
    <t>6变体</t>
  </si>
  <si>
    <t>https://www.uniqlo.com/jp/ja/products/E474767-000/00?colorDisplayCode=00&amp;sizeDisplayCode=120</t>
  </si>
  <si>
    <t>01-2601-0256</t>
  </si>
  <si>
    <t>5变体</t>
  </si>
  <si>
    <t>https://www.uniqlo.com/jp/ja/products/E474770-000/00?colorDisplayCode=07&amp;sizeDisplayCode=120</t>
  </si>
  <si>
    <t>01-2601-0258</t>
  </si>
  <si>
    <t>https://www.uniqlo.com/jp/ja/products/E474624-000/00?colorDisplayCode=00&amp;sizeDisplayCode=130</t>
  </si>
  <si>
    <t>01-2601-0259</t>
  </si>
  <si>
    <t>https://www.uniqlo.com/jp/ja/products/E479900-000/00?colorDisplayCode=41&amp;sizeDisplayCode=120</t>
  </si>
  <si>
    <t>01-2601-0260</t>
  </si>
  <si>
    <t>https://www.uniqlo.com/jp/ja/products/E483352-000/00?colorDisplayCode=40&amp;sizeDisplayCode=120</t>
  </si>
  <si>
    <t>01-2601-0261</t>
  </si>
  <si>
    <t>7变体</t>
  </si>
  <si>
    <t>https://www.uniqlo.com/jp/ja/products/E483350-000/00?colorDisplayCode=11&amp;sizeDisplayCode=120</t>
  </si>
  <si>
    <t>01-2601-0262</t>
  </si>
  <si>
    <t>https://www.uniqlo.com/jp/ja/products/E483372-000/00?colorDisplayCode=08&amp;sizeDisplayCode=120</t>
  </si>
  <si>
    <t>01-2601-0263</t>
  </si>
  <si>
    <t>https://www.uniqlo.com/jp/ja/products/E483370-000/00?colorDisplayCode=71&amp;sizeDisplayCode=120</t>
  </si>
  <si>
    <t>01-2601-0264</t>
  </si>
  <si>
    <t>https://www.amazon.co.jp/1%E4%B8%80%E8%88%AC%E8%B2%A9%E5%A3%B2%E9%96%8B%E5%A7%8B%E3%80%91%E3%81%BB%E3%81%BC%E6%97%A5%E6%89%8B%E5%B8%B3-weeks-%E5%90%8D%E6%8E%A2%E5%81%B5%E3%82%B3%E3%83%8A%E3%83%B3-%E3%83%A1%E3%83%A2%E3%83%AA%E3%82%A2%E3%83%AB%E3%82%B3%E3%83%8A%E3%83%B3-4%E6%9C%88%E5%A7%8B%E3%81%BE%E3%82%8A/dp/B0G2V9XYF9/ref=sr_1_1?crid=2PF0SP61NJ1ZF&amp;dib=eyJ2IjoiMSJ9.TgYL3ZoHrdyVDbHUnlwUqco672UEO7sbQGgS0kV7Pi0gWbrtZz49ibGHBH8H3XlzIc5auHPOMB60_rjFBPMzxSiQCFFMlZ4iJXxiX3E-jqi2UxJoVY9KG--a2YRz8ROPmIY45auPFX_taNQnH--MQLTF-59turdVeWMwVYUhSsKifzWAm8ojUfNZdOUlcqf3Xgh9VHdOR104unVI-FikAz9dzZZirYeVLMUwM68AZZuMlQYI4n_zdKnXl8s5lhWOR7I8DMsm7nrBMQcDdnLWLE1OiM7DYDXJ9o9TYbghX4Q.fruW7L3uiTvdzJ9sFqTqX6ddcEwgRraeOFgajK-60Gw&amp;dib_tag=se&amp;keywords=%E3%81%BB%E3%81%BC%E6%97%A5%2B%E3%82%B3%E3%83%8A%E3%83%B3&amp;qid=1770099701&amp;sprefix=hobonichi%2Bkonan%2Caps%2C279&amp;sr=8-1&amp;th=1</t>
  </si>
  <si>
    <t>01-2601-0265</t>
  </si>
  <si>
    <t>4580812698856</t>
  </si>
  <si>
    <t>https://www.amazon.co.jp/1%E4%B8%80%E8%88%AC%E8%B2%A9%E5%A3%B2%E9%96%8B%E5%A7%8B%E3%80%91%E3%81%BB%E3%81%BC%E6%97%A5%E6%89%8B%E5%B8%B3-weeks-%E5%90%8D%E6%8E%A2%E5%81%B5%E3%82%B3%E3%83%8A%E3%83%B3-%E3%82%B3%E3%83%8A%E3%83%B3%E3%83%A2%E3%83%81%E3%83%BC%E3%83%95-4%E6%9C%88%E5%A7%8B%E3%81%BE%E3%82%8A/dp/B0G2VD41YN/ref=sr_1_2?crid=2PF0SP61NJ1ZF&amp;dib=eyJ2IjoiMSJ9.TgYL3ZoHrdyVDbHUnlwUqco672UEO7sbQGgS0kV7Pi0gWbrtZz49ibGHBH8H3XlzIc5auHPOMB60_rjFBPMzxSiQCFFMlZ4iJXxiX3E-jqi2UxJoVY9KG--a2YRz8ROPmIY45auPFX_taNQnH--MQLTF-59turdVeWMwVYUhSsKifzWAm8ojUfNZdOUlcqf3Xgh9VHdOR104unVI-FikAz9dzZZirYeVLMUwM68AZZuMlQYI4n_zdKnXl8s5lhWOR7I8DMsm7nrBMQcDdnLWLE1OiM7DYDXJ9o9TYbghX4Q.fruW7L3uiTvdzJ9sFqTqX6ddcEwgRraeOFgajK-60Gw&amp;dib_tag=se&amp;keywords=%E3%81%BB%E3%81%BC%E6%97%A5%2B%E3%82%B3%E3%83%8A%E3%83%B3&amp;qid=1770099701&amp;sprefix=hobonichi%2Bkonan%2Caps%2C279&amp;sr=8-2&amp;th=1</t>
  </si>
  <si>
    <t>01-2601-0266</t>
  </si>
  <si>
    <t>4580812698863</t>
  </si>
  <si>
    <t>01-2602-0001</t>
  </si>
  <si>
    <t>库存1</t>
  </si>
  <si>
    <t>钓鱼福袋8888</t>
  </si>
  <si>
    <t>https://www.amazon.co.jp/dp/B0DJWW2HRW?ref=cm_sw_r_cso_cp_apin_dp_GFDZYN5CVPM6AEFAY395&amp;ref_=cm_sw_r_cso_cp_apin_dp_GFDZYN5CVPM6AEFAY395&amp;social_share=cm_sw_r_cso_cp_apin_dp_GFDZYN5CVPM6AEFAY395&amp;th=1</t>
  </si>
  <si>
    <t>01-2602-0002</t>
  </si>
  <si>
    <t>4550337413616</t>
  </si>
  <si>
    <t>https://www.amazon.co.jp/%E8%96%AC%E5%B8%AB%E7%AA%AF-yakushigama-%E7%B4%85%E7%99%BD%E3%83%BB%E5%B0%8F-%E3%80%9053%E3%80%91-2026%E5%B9%B4/dp/B0FGPC8T5T/ref=pd_lutyp_pd_typ_d_typ_dealz_cs_d_sccl_4_6/355-3582507-3163057?pd_rd_w=11z4A&amp;content-id=amzn1.sym.c00a6f8a-68e8-4257-bd1b-9e0a6f001061&amp;pf_rd_p=c00a6f8a-68e8-4257-bd1b-9e0a6f001061&amp;pf_rd_r=JFFNTJ84V5NBHK40HF4A&amp;pd_rd_wg=Y4nvh&amp;pd_rd_r=6125b31a-2195-43d8-86ed-926f4df8145c&amp;pd_rd_i=B0FGPC8T5T&amp;th=1</t>
  </si>
  <si>
    <t>01-2602-0003</t>
  </si>
  <si>
    <t>4580663641803</t>
  </si>
  <si>
    <t>https://www.amazon.co.jp/dp/B0F12VTSDF/ref=sspa_dk_detail_6?pf_rd_p=4519c587-1a66-4b67-a87f-559231103a05&amp;pf_rd_r=9NR4TTNAZFEQY0BSM79M&amp;pd_rd_wg=EiGOy&amp;pd_rd_w=HXIua&amp;content-id=amzn1.sym.4519c587-1a66-4b67-a87f-559231103a05&amp;pd_rd_r=a80dab6b-2dce-4ef0-85d8-7cfb7b7a860c&amp;sp_csd=d2lkZ2V0TmFtZT1zcF9kZXRhaWwy&amp;th=1</t>
  </si>
  <si>
    <t>01-2602-0004</t>
  </si>
  <si>
    <t xml:space="preserve"> 4571655352593</t>
  </si>
  <si>
    <t>01-2602-0005</t>
  </si>
  <si>
    <t>4571655352487</t>
  </si>
  <si>
    <t>https://www.amazon.co.jp/dp/B0F2FGYDFD/ref=sspa_dk_detail_5?psc=1&amp;pd_rd_i=B0F2FGYDFD&amp;pd_rd_w=Z5uvK&amp;content-id=amzn1.sym.572ebb24-2377-4247-af86-efae9160931e&amp;pf_rd_p=572ebb24-2377-4247-af86-efae9160931e&amp;pf_rd_r=D709JC48854H6QE2D4EK&amp;pd_rd_wg=5Kj04&amp;pd_rd_r=b50e8720-4732-4feb-96e5-3f7f7172c630&amp;sp_csd=d2lkZ2V0TmFtZT1zcF9kZXRhaWxfdGhlbWF0aWM</t>
  </si>
  <si>
    <t>01-2602-0006</t>
  </si>
  <si>
    <t>https://www.amazon.co.jp/dp/B0F2FDYMKG/ref=sspa_dk_detail_0?pf_rd_p=f293be60-50b7-49bc-95e8-931faf86ed1e&amp;pf_rd_r=S3B6QXJWJSYKA57CPJE2&amp;pd_rd_wg=RxUbk&amp;pd_rd_w=rbBWV&amp;content-id=amzn1.sym.f293be60-50b7-49bc-95e8-931faf86ed1e&amp;pd_rd_r=f2088a56-8a80-4a75-8af5-a92d7c3197df&amp;sp_csd=d2lkZ2V0TmFtZT1zcF9kZXRhaWw&amp;th=1</t>
  </si>
  <si>
    <t>01-2602-0007</t>
  </si>
  <si>
    <t xml:space="preserve"> 4571655353019</t>
  </si>
  <si>
    <t>https://www.amazon.co.jp/dp/B0FVSR4GDN/?_encoding=UTF8&amp;pd_rd_i=B0FVSR4GDN&amp;ref_=sbx_be_s_sparkle_ssd_tt&amp;pd_rd_w=Rpv21&amp;content-id=amzn1.sym.51f2c2f4-2f75-4ab8-99d1-7aa5a1f5c6e8&amp;pf_rd_p=51f2c2f4-2f75-4ab8-99d1-7aa5a1f5c6e8&amp;pf_rd_r=S3B6QXJWJSYKA57CPJE2&amp;pd_rd_wg=RxUbk&amp;pd_rd_r=f2088a56-8a80-4a75-8af5-a92d7c3197df&amp;th=1</t>
  </si>
  <si>
    <t>01-2602-0008</t>
  </si>
  <si>
    <t>https://www.amazon.co.jp/dp/B0G2VD9PT1?tag=webspire_new-22&amp;linkCode=osi&amp;th=1&amp;psc=1</t>
  </si>
  <si>
    <t>01-2602-0009</t>
  </si>
  <si>
    <t>4580812698962</t>
  </si>
  <si>
    <t>https://www.amazon.co.jp/dp/B00005L8TO?tag=webspire_new-22&amp;linkCode=osi&amp;th=1&amp;psc=1</t>
  </si>
  <si>
    <t>https://www.ebay.com/itm/177318387881?nordt=true&amp;orig_cvip=true&amp;rt=nc</t>
  </si>
  <si>
    <t>01-2602-0011</t>
  </si>
  <si>
    <t>4528088000225</t>
  </si>
  <si>
    <t>https://www.amazon.co.jp/Viagr-Aboys-Viagra-Boys/dp/B0DTKCJP6B</t>
  </si>
  <si>
    <t>https://www.ebay.com/itm/306677180874?nordt=true&amp;orig_cvip=true&amp;rt=nc</t>
  </si>
  <si>
    <t>01-2602-0012</t>
  </si>
  <si>
    <t>4571524910343</t>
  </si>
  <si>
    <t>https://www.amazon.co.jp/dp/B0G8Z6GMM2?tag=webspire_new-22&amp;linkCode=osi&amp;th=1&amp;psc=1</t>
  </si>
  <si>
    <t>https://www.ebay.com/itm/358164689760?nordt=true&amp;orig_cvip=true&amp;rt=nc</t>
  </si>
  <si>
    <t>01-2602-0010</t>
  </si>
  <si>
    <t>4547366791716</t>
  </si>
  <si>
    <t>https://www.amazon.co.jp/dp/B0G43B6PN4?tag=webspire_new-22&amp;linkCode=osi&amp;th=1&amp;psc=1</t>
  </si>
  <si>
    <t>https://www.ebay.com/itm/306754205044?nordt=true&amp;orig_cvip=true&amp;rt=nc</t>
  </si>
  <si>
    <t>01-2602-0013</t>
  </si>
  <si>
    <t>4571614702995</t>
  </si>
  <si>
    <t>https://www.amazon.co.jp/dp/B0D5LDWH2J?tag=webspire_new-22&amp;linkCode=osi&amp;th=1&amp;psc=1</t>
  </si>
  <si>
    <t>https://www.ebay.com/itm/365056637620?nordt=true&amp;orig_cvip=true&amp;rt=nc</t>
  </si>
  <si>
    <t>01-2602-0014</t>
  </si>
  <si>
    <t>4988031654750</t>
  </si>
  <si>
    <t>https://www.amazon.co.jp/dp/B0D2HHHR85?tag=webspire_new-22&amp;linkCode=osi&amp;th=1&amp;psc=1</t>
  </si>
  <si>
    <t>https://www.ebay.com/itm/365073295924?nordt=true&amp;orig_cvip=true&amp;rt=nc</t>
  </si>
  <si>
    <t>01-2602-0015</t>
  </si>
  <si>
    <t>4582757031736</t>
  </si>
  <si>
    <t>https://www.amazon.co.jp/TV%E3%82%A2%E3%83%8B%E3%83%A1%E3%80%8E%E3%82%AC%E3%83%81%E3%82%A2%E3%82%AF%E3%82%BF%E3%80%8F%E3%82%AA%E3%83%AA%E3%82%B8%E3%83%8A%E3%83%AB%E3%82%B5%E3%82%A6%E3%83%B3%E3%83%89%E3%83%88%E3%83%A9%E3%83%83%E3%82%AF-%E5%B2%A9%EF%A8%91%E7%90%A2/dp/B0FV1PH9ZJ</t>
  </si>
  <si>
    <t>https://www.ebay.com/itm/317784442767?nordt=true&amp;orig_cvip=true&amp;rt=nc</t>
  </si>
  <si>
    <t>01-2602-0016</t>
  </si>
  <si>
    <t>4580055368431</t>
  </si>
  <si>
    <t>https://www.amazon.co.jp/dp/B01BL6OA5W?tag=webspire_new-22&amp;linkCode=osi&amp;th=1&amp;psc=1</t>
  </si>
  <si>
    <t>https://www.ebay.com/itm/365076827315?nordt=true&amp;orig_cvip=true&amp;rt=nc</t>
  </si>
  <si>
    <t>01-2602-0017</t>
  </si>
  <si>
    <t>4560423191830</t>
  </si>
  <si>
    <t>https://www.amazon.co.jp/dp/B0D5LV2BSJ?tag=webspire_new-22&amp;linkCode=osi&amp;th=1&amp;psc=1</t>
  </si>
  <si>
    <t>https://www.ebay.com/itm/365099396981?nordt=true&amp;orig_cvip=true&amp;rt=nc</t>
  </si>
  <si>
    <t>01-2602-0018</t>
  </si>
  <si>
    <t>4580055364044</t>
  </si>
  <si>
    <t>https://www.amazon.co.jp/dp/B000JLSVSI?tag=webspire_new-22&amp;linkCode=osi&amp;th=1&amp;psc=1</t>
  </si>
  <si>
    <t>https://www.ebay.com/itm/365104245262?nordt=true&amp;orig_cvip=true&amp;rt=nc</t>
  </si>
  <si>
    <t>01-2602-0019</t>
  </si>
  <si>
    <t>4948722301868</t>
  </si>
  <si>
    <t>https://www.amazon.co.jp/dp/B071R57HWV?tag=webspire_new-22&amp;linkCode=osi&amp;th=1&amp;psc=1</t>
  </si>
  <si>
    <t>https://www.ebay.com/itm/365147170889?nordt=true&amp;orig_cvip=true&amp;rt=nc</t>
  </si>
  <si>
    <t>01-2602-0020</t>
  </si>
  <si>
    <t>4589686422857</t>
  </si>
  <si>
    <t>https://www.amazon.co.jp/dp/B0CXT2L2HY?tag=webspire_new-22&amp;linkCode=osi&amp;th=1&amp;psc=1</t>
  </si>
  <si>
    <t>https://www.ebay.com/itm/365232569670?nordt=true&amp;orig_cvip=true&amp;rt=nc</t>
  </si>
  <si>
    <t>01-2602-0021</t>
  </si>
  <si>
    <t>4988031635728</t>
  </si>
  <si>
    <t>https://www.amazon.co.jp/dp/B07X25LL3L?tag=webspire_new-22&amp;linkCode=osi&amp;th=1&amp;psc=1</t>
  </si>
  <si>
    <t>https://www.ebay.com/itm/365303414298?nordt=true&amp;orig_cvip=true&amp;rt=nc</t>
  </si>
  <si>
    <t>01-2602-0022</t>
  </si>
  <si>
    <t>4547366415636</t>
  </si>
  <si>
    <t>https://item.rakuten.co.jp/auc-world-antiqu/20250816bleachb/</t>
  </si>
  <si>
    <t>https://www.ebay.com/itm/146779854149?nordt=true&amp;orig_cvip=true&amp;rt=nc</t>
  </si>
  <si>
    <t>01-2602-0023</t>
  </si>
  <si>
    <t>https://www.amazon.co.jp/dp/B0BLFDLTHR?tag=webspire_new-22&amp;linkCode=osi&amp;th=1&amp;psc=1</t>
  </si>
  <si>
    <t>01-2602-0024</t>
  </si>
  <si>
    <t>4983164197846</t>
  </si>
  <si>
    <t>https://www.amazon.co.jp/BLEACH-SOLID-AND-SOULS-%E5%8D%AF%E3%83%8E%E8%8A%B1%E7%83%88/dp/B0BGX2LLCF</t>
  </si>
  <si>
    <t>https://www.ebay.com/itm/146934677968?nordt=true&amp;orig_cvip=true&amp;rt=nc</t>
  </si>
  <si>
    <t>01-2602-0025</t>
  </si>
  <si>
    <t>4983164194371</t>
  </si>
  <si>
    <t>https://www.amazon.co.jp/BLEACH-SOLID-AND-SOULS-%E6%9B%B4%E6%9C%A8%E5%89%A3%E5%85%AB/dp/B0B8X3DKKS</t>
  </si>
  <si>
    <t>01-2602-0026</t>
  </si>
  <si>
    <t>4983164193459</t>
  </si>
  <si>
    <t>https://www.amazon.co.jp/BLEACH-Stirring-%E5%B0%8F%E7%89%A9%E5%85%A5%E3%82%8C%E3%83%95%E3%82%A3%E3%82%AE%E3%83%A5%E3%82%A2-MASTERELIVE-COLLECTION/dp/B0FLY8K54K</t>
  </si>
  <si>
    <t>01-2602-0027</t>
  </si>
  <si>
    <t>https://www.amazon.co.jp/-/en/Banpresto-BLEACH-Relax-Shibu-Yaichi/dp/B0BXB97C4V</t>
  </si>
  <si>
    <t>01-2602-0028</t>
  </si>
  <si>
    <t>4983164882506</t>
  </si>
  <si>
    <t>https://www.amazon.co.jp/dp/B0D4YSFSW5?tag=webspire_new-22&amp;linkCode=osi&amp;th=1&amp;psc=1</t>
  </si>
  <si>
    <t>https://www.ebay.com/itm/365697706004?nordt=true&amp;orig_cvip=true&amp;rt=nc</t>
  </si>
  <si>
    <t>01-2602-0029</t>
  </si>
  <si>
    <t>4995879253977</t>
  </si>
  <si>
    <t>https://www.amazon.co.jp/dp/B0CB67K1GH?tag=webspire_new-22&amp;linkCode=osi&amp;th=1&amp;psc=1</t>
  </si>
  <si>
    <t>https://www.ebay.com/itm/396459431598?nordt=true&amp;orig_cvip=true&amp;rt=nc</t>
  </si>
  <si>
    <t>01-2602-0030</t>
  </si>
  <si>
    <t>4534530146724</t>
  </si>
  <si>
    <t>https://www.amazon.co.jp/%E4%B8%89%E8%8F%B1%E9%89%9B%E7%AD%86-%E5%A4%9A%E6%A9%9F%E8%83%BD%E3%83%9A%E3%83%B3-%E3%82%B8%E3%82%A7%E3%83%83%E3%83%88%E3%82%B9%E3%83%88%E3%83%AA%E3%83%BC%E3%83%A0-%E3%83%A9%E3%82%A4%E3%83%88%E3%83%94%E3%83%B3%E3%82%AF-MSXE510005-51/dp/B005B6GOOO/ref=zg_bs_g_2017191051_d_sccl_1/357-9393567-9939435?th=1</t>
  </si>
  <si>
    <t>01-2602-0031</t>
  </si>
  <si>
    <t>2支set</t>
  </si>
  <si>
    <t>4902778131169</t>
  </si>
  <si>
    <t>https://www.amazon.co.jp/%E4%B8%89%E8%8F%B1%E9%89%9B%E7%AD%86-%E5%A4%9A%E6%A9%9F%E8%83%BD%E3%83%9A%E3%83%B3-%E3%82%B8%E3%82%A7%E3%83%83%E3%83%88%E3%82%B9%E3%83%88%E3%83%AA%E3%83%BC%E3%83%A0-%E3%83%A9%E3%83%99%E3%83%B3%E3%83%80%E3%83%BC-MSXE510005-34/dp/B0G47QM1QQ/ref=zg_bs_g_2017191051_d_sccl_2/357-9393567-9939435?th=1</t>
  </si>
  <si>
    <t>01-2602-0032</t>
  </si>
  <si>
    <t>4902778350867</t>
  </si>
  <si>
    <t>https://item.rakuten.co.jp/joshin-cddvd/4547366790788/?scid=af_pc_etc&amp;sc2id=af_106_0_10002231&amp;af_tr_src=i2i_bh__g5_g4&amp;af_tct=t_0_top</t>
  </si>
  <si>
    <t>https://www.ebay.com/itm/298025789277?nordt=true&amp;orig_cvip=true&amp;rt=nc</t>
  </si>
  <si>
    <t>01-2602-0033</t>
  </si>
  <si>
    <t>4547366790788</t>
  </si>
  <si>
    <t>https://www.amazon.co.jp/dp/B0DHXKLRVM?tag=webspire_new-22&amp;linkCode=osi&amp;th=1&amp;psc=1</t>
  </si>
  <si>
    <t>https://www.ebay.com/itm/227126699758?nordt=true&amp;orig_cvip=true&amp;rt=nc</t>
  </si>
  <si>
    <t>01-2602-0034</t>
  </si>
  <si>
    <t>4547366712995</t>
  </si>
  <si>
    <t>https://www.amazon.co.jp/dp/B00000ILJ9?tag=webspire_new-22&amp;linkCode=osi&amp;th=1&amp;psc=1</t>
  </si>
  <si>
    <t>https://www.ebay.com/itm/364871847497?nordt=true&amp;orig_cvip=true&amp;rt=nc</t>
  </si>
  <si>
    <t>01-2602-0035</t>
  </si>
  <si>
    <t>4988064116782</t>
  </si>
  <si>
    <t>https://www.amazon.co.jp/dp/B0GF15D7ZX?tag=webspire_new-22&amp;linkCode=osi&amp;th=1&amp;psc=1</t>
  </si>
  <si>
    <t>https://www.ebay.com/itm/117013734607?nordt=true&amp;orig_cvip=true&amp;rt=nc</t>
  </si>
  <si>
    <t>01-2602-0036</t>
  </si>
  <si>
    <t>预售</t>
  </si>
  <si>
    <t>4527516024581</t>
  </si>
  <si>
    <t>https://www.amazon.co.jp/dp/B0F4D69NN4?tag=webspire_new-22&amp;linkCode=osi&amp;th=1&amp;psc=1</t>
  </si>
  <si>
    <t>https://www.ebay.com/itm/227061658930?nordt=true&amp;orig_cvip=true&amp;rt=nc</t>
  </si>
  <si>
    <t>01-2602-0037</t>
  </si>
  <si>
    <t>4547366747140</t>
  </si>
  <si>
    <t>https://www.amazon.co.jp/dp/B0DW8XNF97?tag=webspire_new-22&amp;linkCode=osi&amp;th=1&amp;psc=1</t>
  </si>
  <si>
    <t>https://www.ebay.com/itm/227090709865?nordt=true&amp;orig_cvip=true&amp;rt=nc</t>
  </si>
  <si>
    <t>01-2602-0038</t>
  </si>
  <si>
    <t>4573608139589</t>
  </si>
  <si>
    <t>https://www.amazon.co.jp/dp/B0FVNVPP1F?tag=webspire_new-22&amp;linkCode=osi&amp;th=1&amp;psc=1</t>
  </si>
  <si>
    <t>https://www.ebay.com/itm/317796423185?nordt=true&amp;orig_cvip=true&amp;rt=nc</t>
  </si>
  <si>
    <t>01-2602-0039</t>
  </si>
  <si>
    <t>4988008421446</t>
  </si>
  <si>
    <t>https://www.amazon.co.jp/dp/B0G2VFMV72?tag=webspire_new-22&amp;linkCode=osi&amp;th=1&amp;psc=1</t>
  </si>
  <si>
    <t>01-2602-0040</t>
  </si>
  <si>
    <t>4580812698870</t>
  </si>
  <si>
    <t>https://www.amazon.co.jp/%E3%83%8F%E3%83%B3%E3%82%B3%E3%83%A4%E3%82%B9%E3%83%88%E3%82%A2-%E3%83%9C%E3%83%BC%E3%83%AB%E3%83%9A%E3%83%B3-%E3%82%B8%E3%82%A7%E3%83%83%E3%83%88%E3%82%B9%E3%83%88%E3%83%AA%E3%83%BC%E3%83%A04-0-5mm-%E3%83%8D%E3%82%A4%E3%83%93%E3%83%BC/dp/B0DQWY3LMV/ref=zg_bs_g_2017191051_d_sccl_3/357-9393567-9939435?th=1</t>
  </si>
  <si>
    <t>01-2602-0041</t>
  </si>
  <si>
    <t>https://www.amazon.co.jp/dp/B0DMVVH4WZ?tag=webspire_new-22&amp;linkCode=osi&amp;th=1&amp;psc=1</t>
  </si>
  <si>
    <t>01-2602-0042</t>
  </si>
  <si>
    <t>4582678670021</t>
  </si>
  <si>
    <t>https://www.amazon.co.jp/%E3%80%90%E5%90%8D%E5%85%A5%E3%82%8C%E3%80%91%E9%87%91%E6%96%87%E5%AD%97%E3%82%B8%E3%82%A7%E3%83%83%E3%83%88%E3%82%B9%E3%83%88%E3%83%AA%E3%83%BC%E3%83%A00-5mm-4%EF%BC%861-5%E6%A9%9F%E8%83%BD%E3%83%9A%E3%83%B3-MSXE5-100005-%E3%83%86%E3%82%A3%E3%83%BC%E3%83%AB%E3%83%96%E3%83%AB%E3%83%BC/dp/B0GCRTVSDL/ref=zg_bs_g_2017191051_d_sccl_4/357-9393567-9939435?th=1</t>
  </si>
  <si>
    <t>01-2602-0043</t>
  </si>
  <si>
    <t>2支2色</t>
  </si>
  <si>
    <t>https://www.amazon.co.jp/%E3%80%90%E5%90%8D%E5%85%A5%E3%82%8C%E3%80%91%E9%87%91%E6%96%87%E5%AD%97%E3%82%B8%E3%82%A7%E3%83%83%E3%83%88%E3%82%B9%E3%83%88%E3%83%AA%E3%83%BC%E3%83%A00-5mm-4%EF%BC%861-5%E6%A9%9F%E8%83%BD%E3%83%9A%E3%83%B3-MSXE5-100005-%E3%83%86%E3%82%A3%E3%83%BC%E3%83%AB%E3%83%96%E3%83%AB%E3%83%BC/dp/B01MRZYYF0/ref=zg_bs_g_2017191051_d_sccl_4/357-9393567-9939435?th=1</t>
  </si>
  <si>
    <t>01-2602-0044</t>
  </si>
  <si>
    <t>11色2支</t>
  </si>
  <si>
    <t>https://www.amazon.co.jp/%E4%B8%89%E8%8F%B1%E9%89%9B%E7%AD%86-%E3%82%B8%E3%82%A7%E3%83%83%E3%83%88%E3%82%B9%E3%83%88%E3%83%AA%E3%83%BC%E3%83%A0-%E3%83%A9%E3%82%A4%E3%83%88%E3%82%BF%E3%83%83%E3%83%81%E3%82%A4%E3%83%B3%E3%82%AF-%E3%82%B3%E3%83%BC%E3%83%A9%E3%83%AB%E3%83%94%E3%83%B3%E3%82%AF-MSXE5LS05-66/dp/B0D31GTCFK/ref=zg_bs_g_2017191051_d_sccl_4/357-9393567-9939435?th=1</t>
  </si>
  <si>
    <t>01-2602-0045</t>
  </si>
  <si>
    <t xml:space="preserve"> 4902778313909</t>
  </si>
  <si>
    <t>https://www.amazon.co.jp/%E4%B8%89%E8%8F%B1%E9%89%9B%E7%AD%86-%E5%A4%9A%E6%A9%9F%E8%83%BD%E3%83%9A%E3%83%B3-%E3%82%B8%E3%82%A7%E3%83%83%E3%83%88%E3%82%B9%E3%83%88%E3%83%AA%E3%83%BC%E3%83%A0-%E3%82%B5%E3%83%B3%E3%82%BB%E3%83%83%E3%83%88%E3%82%AA%E3%83%AC%E3%83%B3%E3%82%B8-MSXE5KF05-4/dp/B0CNQZPZ6H/ref=zg_bs_g_2017191051_d_sccl_6/357-9393567-9939435?th=1</t>
  </si>
  <si>
    <t>01-2602-0046</t>
  </si>
  <si>
    <t>https://www.amazon.co.jp/%E4%B8%89%E8%8F%B1%E9%89%9B%E7%AD%86-%E5%A4%9A%E6%A9%9F%E8%83%BD%E3%83%9A%E3%83%B3-%E3%83%94%E3%83%A5%E3%82%A2%E3%83%A2%E3%83%AB%E3%83%88%E3%83%97%E3%83%AC%E3%83%9F%E3%82%A2%E3%83%A0-%E3%83%96%E3%83%A9%E3%83%83%E3%82%AF-MSXE520050724/dp/B004G5N8S6/ref=zg_bs_g_2017191051_d_sccl_7/357-9393567-9939435?th=1</t>
  </si>
  <si>
    <t>01-2602-0047</t>
  </si>
  <si>
    <t xml:space="preserve"> 4902778130094</t>
  </si>
  <si>
    <t>https://www.amazon.co.jp/%E4%B8%89%E8%8F%B1%E9%89%9B%E7%AD%86-%E5%A4%9A%E6%A9%9F%E8%83%BD%E3%83%9A%E3%83%B3-%E3%83%94%E3%83%A5%E3%82%A2%E3%83%A2%E3%83%AB%E3%83%88%E3%83%97%E3%83%AC%E3%83%9F%E3%82%A2%E3%83%A0-%E3%83%96%E3%83%A9%E3%83%83%E3%82%AF-MSXE520050724/dp/B0013K36UW/ref=zg_bs_g_2017191051_d_sccl_7/357-9393567-9939435?th=1</t>
  </si>
  <si>
    <t>01-2602-0048</t>
  </si>
  <si>
    <t>4902778716144</t>
  </si>
  <si>
    <t>https://www.amazon.co.jp/%E4%B8%89%E8%8F%B1%E9%89%9B%E7%AD%86-%E5%A4%9A%E6%A9%9F%E8%83%BD%E3%83%9A%E3%83%B3-%E3%83%94%E3%83%A5%E3%82%A2%E3%83%A2%E3%83%AB%E3%83%88%E3%83%97%E3%83%AC%E3%83%9F%E3%82%A2%E3%83%A0-%E3%83%96%E3%83%A9%E3%83%83%E3%82%AF-MSXE520050724/dp/B002CKJ4CQ/ref=zg_bs_g_2017191051_d_sccl_7/357-9393567-9939435?th=1</t>
  </si>
  <si>
    <t>01-2602-0049</t>
  </si>
  <si>
    <t>4902778090596</t>
  </si>
  <si>
    <t>https://www.amazon.co.jp/%E4%B8%89%E8%8F%B1%E9%89%9B%E7%AD%86-%E5%A4%9A%E6%A9%9F%E8%83%BD%E3%83%9A%E3%83%B3-%E3%82%B8%E3%82%A7%E3%83%83%E3%83%88%E3%82%B9%E3%83%88%E3%83%AA%E3%83%BC%E3%83%A0-%E3%83%8D%E3%82%A4%E3%83%93%E3%83%BC-MSXE350005-9/dp/B0DPWKFLDN/ref=zg_bs_g_2017191051_d_sccl_8/357-9393567-9939435?th=1</t>
  </si>
  <si>
    <t>https://www.amazon.co.jp/%E4%B8%89%E8%8F%B1%E9%89%9B%E7%AD%86-%E3%83%9C%E3%83%BC%E3%83%AB%E3%83%9A%E3%83%B3%E6%9B%BF%E8%8A%AF-%E3%82%B8%E3%82%A7%E3%83%83%E3%83%88%E3%82%B9%E3%83%88%E3%83%AA%E3%83%BC%E3%83%A0-%E5%A4%9A%E8%89%B2%E5%A4%9A%E6%A9%9F%E8%83%BD-SXR80055P-24/dp/B007E66IZY?pd_rd_w=5m1MZ&amp;content-id=amzn1.sym.c8e6625d-3ecd-4749-8f7b-7ceed47b44da&amp;pf_rd_p=c8e6625d-3ecd-4749-8f7b-7ceed47b44da&amp;pf_rd_r=ERKK5778N3306QJFCGY4&amp;pd_rd_wg=ibPwt&amp;pd_rd_r=128ba821-e286-4812-87ff-07adc538e6d2&amp;ref_=sspa_dk_detail_sbb_img_0&amp;sp_csd=d2lkZ2V0TmFtZT1zcF9kZXRhaWxfdGhlbWF0aWM&amp;th=1</t>
  </si>
  <si>
    <t>01-2602-0050</t>
  </si>
  <si>
    <t>笔+替芯</t>
  </si>
  <si>
    <t>4902778042274</t>
  </si>
  <si>
    <t>https://www.amazon.co.jp/%E3%82%B7%E3%83%AB%E3%82%AD%E3%83%BC-%E3%82%BA%E3%83%90%E3%83%83%E3%83%88-1200-330mm-272-12/dp/B0014CC5BA/ref=sr_1_7?crid=3GHF2S6C0D3ZP&amp;dib=eyJ2IjoiMSJ9.0F2nwrFf-H5w-rSP_djOC_KbTYJc5hA3oJiL4qJoGz-SMEGXYGWW1erfwOtfotAtTHUCzR5EUTt31JAKdH4yxi7RjWLQnb0e1uVr-Gdh5mFPZAQHNRHfPbKSbZhfyZl9lIDajPDKUfrakoaD6SThmSaYux2xgGR-hQ_WfMFqMdhbOS-3bw_osh6wEt0S9J2lw_qo5ljAI2wvyOiITNzeGDQp44ScazdWxxT6xpoCSw-6Gtu5-DD1BTMuytc9MrpQCndhDc9AxCQs9q48CV_K2m9u9grRK15NjNkaM39Ky84.jEHXC9JR7DooDEINhX2zhmZ-8p-2w2UULyLLcj96WeY&amp;dib_tag=se&amp;keywords=silky+zubat&amp;qid=1771306700&amp;sprefix=silky+zu%27ba%2Caps%2C289&amp;sr=8-7</t>
  </si>
  <si>
    <t>01-2602-0051</t>
  </si>
  <si>
    <t>04903585272120</t>
  </si>
  <si>
    <t>OP3-001</t>
  </si>
  <si>
    <t>01-2602-0052</t>
  </si>
  <si>
    <t>西那母文具套装（库存：3套）</t>
  </si>
  <si>
    <t>Sanrio Cinnamoroll 3-Piece Stationery Bundle Pen Stickers Envelope Gift Set New</t>
  </si>
  <si>
    <t>01-2602-0053</t>
  </si>
  <si>
    <t>op base case vol 1</t>
  </si>
  <si>
    <t>01-2602-0054</t>
  </si>
  <si>
    <t>op 0214 promo</t>
  </si>
  <si>
    <t>01-2602-0055</t>
  </si>
  <si>
    <t>op 0214 promo x10</t>
  </si>
  <si>
    <t>01-2602-0056</t>
  </si>
  <si>
    <t>https://www.amazon.co.jp/%E3%83%AA%E3%83%95%E3%82%A1-%E3%83%8F%E3%83%BC%E3%83%88%E3%83%96%E3%83%A9%E3%82%B7-ReFa-HEART-%E3%82%AA%E3%83%BC%E3%83%AD%E3%83%A9%E3%83%9B%E3%83%AF%E3%82%A4%E3%83%88/dp/B0B8SFW3CD/ref=sr_1_15?crid=A2EY32OJT762&amp;dib=eyJ2IjoiMSJ9.Xt5GhIDlJEJtU8drC2ZNtIrgBTaZ0Fgu-dVLC91pCPo1ECjZx7O3s_ZgaKDzhMfxjb5dzyfKsF5sEHIvd02S-EAJMb4XI5jAYRT_udySF5DQ_0nQldT3hhHhkVu53ArFxd9L4mP37ikv0bPhpSEBmvNFl4gHWgjNQwXgex21q7RW0rneFANdtpdD0oawrDGgTNNAJm7n8SB6Jq9eySfpwf00ymk0fYCGr2GG-bi3MJyWbtKJ7FITI-qP6IxVxdegZ3CvHjdmh9QnYCPjkgi7Z4cPa8EOP09gMARyE7RJMF8.ccbAzR9SZOdI8z7Krcvfg2pfmCJG79C1D4r6xlRk1rY&amp;dib_tag=se&amp;keywords=ReFa%2BBRUSH&amp;qid=1771547220&amp;sprefix=refa%2Bshampoo%2Bbrush%2Caps%2C274&amp;sr=8-15&amp;th=1</t>
  </si>
  <si>
    <t>https://www.ebay.com/itm/317868487166?_skw=refa+heart+comb&amp;itmmeta=01KHW7598QDKDXZRCWXSFDTA3Q&amp;hash=item4a027031fe:g:FVsAAeSwx~BpjMQB&amp;itmprp=enc%3AAQALAAAA0GfYFPkwiKCW4ZNSs2u11xBxTiYb7o4i8V28VnpQw4TA4DdA2081JRBMgtYip9Z5WgYzA%2BXR2wxtNnHsQmeFFE03HSNatMJ3WVFgwQukC69xWwCAA0j1jkhpKYtmaXplwupD%2B%2BKHImN8sA464saZOTHtUm%2FeQlIlELSxMsFwwIPm23K%2Fq0zcu90WKrHEe9Wnr6RA%2FIb2Q1w4oJX7UhFybH3xD6fwL7eLTz%2B15q5IEoP9ebiHLt0trmiIm7rnRU%2F7wXvCB6pAgsBRjcr22thZvdA%3D%7Ctkp%3ABk9SR7yUlYePZw</t>
  </si>
  <si>
    <t>01-2602-0057</t>
  </si>
  <si>
    <t>4974011801535</t>
  </si>
  <si>
    <t>https://www.ebay.com/itm/406525086158?_skw=refa+heart+comb&amp;itmmeta=01KHW7598QKDK9CFECRPDSCAQH&amp;hash=item5ea6c889ce:g:mLIAAeSwtWZpO8XZ&amp;itmprp=enc%3AAQALAAAA0GfYFPkwiKCW4ZNSs2u11xCNR8oqaPHagZiIPqdO8uYBuZ0sjYdSNJiiTFmqHeM06yxl1dUEyeQ5NmBcTLYP4RpDs3FYbjOhBPXFNsPAcYLQvfVa1HFGZQ5QVwXcrL%2BcItOddC%2ByanNL12F%2FR91qkY6RHkBCvGXHPSgTzsqPc1t%2Fe1pOWqXy8qoFdzl2bS%2BoKG7VPvCw8MjUMCnnSp4TvSCqd8McGRzEFHymwPxgs%2F%2BUnypoqr9TsvjUFuqnkBti7%2BeZUkJVvpkOQ8yQJjoWOEk%3D%7Ctkp%3ABk9SR7qUlYePZw</t>
  </si>
  <si>
    <t>01-2602-0058</t>
  </si>
  <si>
    <t>https://www.ebay.com/itm/365998301215?_skw=refa+heart+comb&amp;itmmeta=01KHW7598RWEJMX2J97D4H7Q54&amp;hash=item553732e01f:g:m0MAAeSwdEdpHEu1&amp;itmprp=enc%3AAQALAAAA8GfYFPkwiKCW4ZNSs2u11xCGRK%2Bgztzxz0VIA2MNV%2Bc4SKpX2%2FJdN%2BCfGjz9XxjRixKEVYkKlYujVZUJDzIedwtpbyaofFFeOQLLs3LoA%2BZux--bws5FTg8Yx%2ByMJWE5i8XEQrgqmWoQFQm4aV6Ecj8hVjdxrNgueq5WB%2FSG%2FklaqDde6E8Nean2qBQ3FRT4FPuMg7WvDJPtGz5lgHbatgf5eu9NKNycRQzGZV2ooaPEkdgd09IB%2FnzXAyvYUTEJEot6oYXj1qFeJN43Sj2VwUBkPBVDXdkWNGtwfw0nZJTD%2F%2BGiFdADdQYI5E1SS0sArQ%3D%3D%7Ctkp%3ABFBMvpSVh49n</t>
  </si>
  <si>
    <t>01-2602-0059</t>
  </si>
  <si>
    <t>https://www.amazon.co.jp/%E4%B8%89%E8%8F%B1%E9%89%9B%E7%AD%86-%E5%A4%9A%E6%A9%9F%E8%83%BD%E3%83%9A%E3%83%B3-%E3%82%B8%E3%82%A7%E3%83%83%E3%83%88%E3%82%B9%E3%83%88%E3%83%AA%E3%83%BC%E3%83%A0-%E3%83%8D%E3%82%A4%E3%83%93%E3%83%BC-MSXE350005-9/dp/B0DPWGSFMB/ref=zg_bs_g_2017191051_d_sccl_11/357-9393567-9939435?th=1</t>
  </si>
  <si>
    <t>https://www.amazon.co.jp/dp/B0DXCP1444/ref=sspa_dk_detail_right_aax_0?psc=1&amp;sp_csd=d2lkZ2V0TmFtZT1zcF9kZXRhaWxfcmlnaHRfc2hhcmVk</t>
  </si>
  <si>
    <t>01-2602-0060</t>
  </si>
  <si>
    <t>笔2+替芯</t>
  </si>
  <si>
    <t>0785525745581</t>
  </si>
  <si>
    <t>https://www.amazon.co.jp/%E4%B8%89%E8%8F%B1%E9%89%9B%E7%AD%86-%E5%A4%9A%E6%A9%9F%E8%83%BD%E3%83%9A%E3%83%B3-%E3%82%B8%E3%82%A7%E3%83%83%E3%83%88%E3%82%B9%E3%83%88%E3%83%AA%E3%83%BC%E3%83%A0-%E3%83%96%E3%83%A9%E3%83%83%E3%82%AF-MSXE380005-24/dp/B017BEX432/ref=zg_bs_g_2017191051_d_sccl_14/357-9393567-9939435?psc=1</t>
  </si>
  <si>
    <t>01-2602-0061</t>
  </si>
  <si>
    <t>4902778198179</t>
  </si>
  <si>
    <t>01-2602-0062</t>
  </si>
  <si>
    <t>https://www.amazon.co.jp/%E4%B8%89%E8%8F%B1%E9%89%9B%E7%AD%86-%E5%A4%9A%E6%A9%9F%E8%83%BD%E3%83%9A%E3%83%B3-%E3%83%94%E3%83%A5%E3%82%A2%E3%83%A2%E3%83%AB%E3%83%88-%E3%83%A1%E3%82%BF%E3%83%AA%E3%83%83%E3%82%AF%E3%83%96%E3%83%A9%E3%82%A6%E3%83%B3-MSXE310057M21/dp/B004G5SB88/ref=zg_bs_g_2017191051_d_sccl_15/357-9393567-9939435?psc=1</t>
  </si>
  <si>
    <t>01-2602-0063</t>
  </si>
  <si>
    <t>4902778130117</t>
  </si>
  <si>
    <t>https://www.amazon.co.jp/%E3%83%AD%E3%83%83%E3%83%88%E3%83%AA%E3%83%B3%E3%82%B0-%E3%83%9E%E3%83%AB%E3%83%81%E3%83%9A%E3%83%B3-%E3%82%B7%E3%83%AB%E3%83%90%E3%83%BC-2164109-%E6%AD%A3%E8%A6%8F%E8%BC%B8%E5%85%A5%E5%93%81/dp/B09JG527RJ/ref=zg_bs_g_2017191051_d_sccl_16/357-9393567-9939435?th=1</t>
  </si>
  <si>
    <t>01-2602-0064</t>
  </si>
  <si>
    <t>5色变体</t>
  </si>
  <si>
    <t xml:space="preserve"> 4895151557864</t>
  </si>
  <si>
    <t>https://www.amazon.co.jp/%E4%B8%89%E8%8F%B1%E9%89%9B%E7%AD%86-%E5%A4%9A%E6%A9%9F%E8%83%BD%E3%83%9A%E3%83%B3-%E3%82%B8%E3%82%A7%E3%83%83%E3%83%88%E3%82%B9%E3%83%88%E3%83%AA%E3%83%BC%E3%83%A0-0-7-MSXE460007-8/dp/B0DJMFDV52/ref=zg_bs_g_2017191051_d_sccl_17/357-9393567-9939435?th=1</t>
  </si>
  <si>
    <t>01-2602-0065</t>
  </si>
  <si>
    <t>3支set</t>
  </si>
  <si>
    <t>4902778168097</t>
  </si>
  <si>
    <t>https://www.amazon.co.jp/%E4%B8%89%E8%8F%B1%E9%89%9B%E7%AD%86-%E5%A4%9A%E6%A9%9F%E8%83%BD%E3%83%9A%E3%83%B3-%E3%82%B8%E3%82%A7%E3%83%83%E3%83%88%E3%82%B9%E3%83%88%E3%83%AA%E3%83%BC%E3%83%A0-%E3%83%8D%E3%82%A4%E3%83%93%E3%83%BC-MSXE380007-9/dp/B0F794CLPC/ref=zg_bs_g_2017191051_d_sccl_18/357-9393567-9939435?th=1</t>
  </si>
  <si>
    <t>01-2602-0066</t>
  </si>
  <si>
    <t>4902778198193</t>
  </si>
  <si>
    <t>https://www.amazon.co.jp/%E3%82%BC%E3%83%96%E3%83%A9-%E5%A4%9A%E6%A9%9F%E8%83%BD%E3%83%9A%E3%83%B3-%E3%82%B7%E3%83%A3%E3%83%BC%E3%83%9CX-%E3%83%8D%E3%82%A4%E3%83%93%E3%83%BC%E3%82%B4%E3%83%BC%E3%83%AB%E3%83%89-SB21-C-NVG/dp/B018PZLZVO/ref=zg_bs_g_2017191051_d_sccl_19/357-9393567-9939435?th=1</t>
  </si>
  <si>
    <t>01-2602-0067</t>
  </si>
  <si>
    <t>7色</t>
  </si>
  <si>
    <t>4901681655557</t>
  </si>
  <si>
    <t>https://www.amazon.co.jp/dp/B0FMQ6ZY9C?tag=webspire_new-22&amp;linkCode=osi&amp;th=1</t>
  </si>
  <si>
    <t>01-2602-0068</t>
  </si>
  <si>
    <t>现货</t>
  </si>
  <si>
    <t>https://www.discogs.com/release/34208857-Guns-N-Roses-The-Village-Sessions-Best-Selection?srsltid=AfmBOoqRc0MZDLqNcY-0kEn5MKfOUYPntQcBHIpN1BIl_LYhdW-z_8Eq</t>
  </si>
  <si>
    <t>01-2602-0069</t>
  </si>
  <si>
    <t>*</t>
  </si>
  <si>
    <t>guns n rose</t>
  </si>
  <si>
    <t>https://www.amazon.co.jp/dp/B00C3BRCR8?tag=webspire_new-22&amp;linkCode=osi&amp;th=1&amp;psc=1</t>
  </si>
  <si>
    <t>01-2602-0070</t>
  </si>
  <si>
    <t>4988013388765</t>
  </si>
  <si>
    <t>01-2602-0071</t>
  </si>
  <si>
    <t>4547366408959</t>
  </si>
  <si>
    <t>https://www.amazon.co.jp/%E3%80%90Amazon-co-jp%E9%99%90%E5%AE%9A%E3%80%91%E3%83%A9%E3%83%83%E3%82%AF-%E3%82%AA%E3%82%A2%E3%83%BB%E3%82%B5%E3%83%A0%E3%82%B7%E3%83%B3%E3%82%B0-%E3%83%92%E3%83%A9%E3%83%AA%E3%83%BC%E3%83%BB%E3%83%80%E3%83%95-%E3%83%A1%E3%82%AC%E3%82%B8%E3%83%A3%E3%82%B1%E4%BB%98/dp/B0G4VQ3TQQ/ref=sr_1_2?crid=ZZOOECVCN1YB&amp;dib=eyJ2IjoiMSJ9.W4ePuOhKYyFW2jc8iWwo9WD-lzREExlhIVEOtKdKdbkhqvie8efmFxuLl7zMXXfBCw3h66OlpWo2c5bYX2zwZdd2RFDblqv9FjL0sHFvP28tWIsWl7szUp-j0s2EcCH-5E-nS83m4xYTpGkg4b_vPtLXUErG5U1MNiSV-fYEbe0_smIQNjSfXQX26z7okldSUVAVLLIXq_MxfQuNZaKUgoCiMtXoO0Ey0XEfWZezN3yiqQ2_x189szUcNba9lWEsfV5m5I-b39670XoNtpPHkOt1jNv_909r8mg-oPCIZi0.GLMDw2KMPXkVWdrpaS2U2YwpL5iJcHuzn8Vv_7GVarc&amp;dib_tag=se&amp;keywords=hilary+duff+cd&amp;qid=1771892344&amp;sprefix=hilary+duff+c%27d%2Caps%2C235&amp;sr=8-2</t>
  </si>
  <si>
    <t>01-2602-0072</t>
  </si>
  <si>
    <t>55111512</t>
  </si>
  <si>
    <t>https://www.amazon.co.jp/dp/B0G4VQ3TQQ?tag=webspire_new-22&amp;linkCode=osi&amp;th=1&amp;psc=1</t>
  </si>
  <si>
    <t>https://www.ebay.com/itm/277740507205?nordt=true&amp;orig_cvip=true&amp;rt=nc</t>
  </si>
  <si>
    <t>01-2602-0073</t>
  </si>
  <si>
    <t>4943674437177</t>
  </si>
  <si>
    <t>https://www.amazon.co.jp/dp/B0GCDQZWNQ?tag=webspire_new-22&amp;linkCode=osi&amp;th=1&amp;psc=1</t>
  </si>
  <si>
    <t>https://www.ebay.com/itm/358230121194?nordt=true&amp;orig_cvip=true&amp;rt=nc</t>
  </si>
  <si>
    <t>01-2602-0074</t>
  </si>
  <si>
    <t>4943674438518</t>
  </si>
  <si>
    <t>https://www.amazon.co.jp/dp/B000RG1FMO?tag=webspire_new-22&amp;linkCode=osi&amp;th=1&amp;psc=1</t>
  </si>
  <si>
    <t>https://www.ebay.com/itm/187691904819?nordt=true&amp;orig_cvip=true&amp;rt=nc</t>
  </si>
  <si>
    <t>01-2602-0075</t>
  </si>
  <si>
    <t>0602517412200</t>
  </si>
  <si>
    <t>https://www.amazon.co.jp/dp/B0G351WV5N?tag=webspire_new-22&amp;linkCode=osi&amp;th=1&amp;psc=1</t>
  </si>
  <si>
    <t>https://www.ebay.com/itm/306776436567?nordt=true&amp;orig_cvip=true&amp;rt=nc</t>
  </si>
  <si>
    <t>01-2602-0076</t>
  </si>
  <si>
    <t>4988002951406</t>
  </si>
  <si>
    <t>https://www.amazon.co.jp/dp/B00005UD3X?tag=webspire_new-22&amp;linkCode=osi&amp;th=1&amp;psc=1</t>
  </si>
  <si>
    <t>https://www.ebay.com/itm/142873929986?nordt=true&amp;orig_cvip=true&amp;rt=nc</t>
  </si>
  <si>
    <t>01-2602-0077</t>
  </si>
  <si>
    <t>4988017607343</t>
  </si>
  <si>
    <t>https://www.amazon.co.jp/dp/B009W67NI0?tag=webspire_new-22&amp;linkCode=osi&amp;th=1&amp;psc=1</t>
  </si>
  <si>
    <t>https://www.ebay.com/itm/133128277012?nordt=true&amp;orig_cvip=true&amp;rt=nc</t>
  </si>
  <si>
    <t>01-2602-0078</t>
  </si>
  <si>
    <t>4580325313642</t>
  </si>
  <si>
    <t>https://www.amazon.co.jp/dp/B0GFXSPC88?ref=fed_asin_title</t>
  </si>
  <si>
    <t>01-2602-0079</t>
  </si>
  <si>
    <t>4912305310264</t>
  </si>
  <si>
    <t>https://www.amazon.co.jp/dp/B0G4M7P463?tag=webspire_new-22&amp;linkCode=osi&amp;th=1&amp;psc=1</t>
  </si>
  <si>
    <t>https://www.ebay.com/itm/358242276191?nordt=true&amp;orig_cvip=true&amp;rt=nc</t>
  </si>
  <si>
    <t>01-2602-0080</t>
  </si>
  <si>
    <t>4988002941544</t>
  </si>
  <si>
    <t>https://www.amazon.co.jp/Go-Blind-%E6%9C%88%E7%8B%BC-%E9%80%9A%E5%B8%B8%E7%9B%A4-TEAM/dp/B0DWDDN32R</t>
  </si>
  <si>
    <t>https://www.ebay.com/itm/335856154378?nordt=true&amp;orig_cvip=true&amp;rt=nc</t>
  </si>
  <si>
    <t>01-2602-0081</t>
  </si>
  <si>
    <t>4988031758809</t>
  </si>
  <si>
    <t>https://item.rakuten.co.jp/surprise-2/aznavcy-58118/</t>
  </si>
  <si>
    <t>https://www.ebay.com/itm/365400260430?nordt=true&amp;orig_cvip=true&amp;rt=nc</t>
  </si>
  <si>
    <t>01-2602-0082</t>
  </si>
  <si>
    <t>4988064581184</t>
  </si>
  <si>
    <t>https://item.rakuten.co.jp/guruguru2/uicy-79910/?scid=af_pc_etc&amp;sc2id=af_106_0_10002231&amp;af_tr_src=i2i_bh__g5_g4&amp;af_tct=t_0_top</t>
  </si>
  <si>
    <t>https://www.ebay.com/itm/134106743303?nordt=true&amp;orig_cvip=true&amp;rt=nc</t>
  </si>
  <si>
    <t>01-2602-0083</t>
  </si>
  <si>
    <t>4988031481929</t>
  </si>
  <si>
    <t>https://www.amazon.co.jp/-/en/GIRLS-GENERATION-Girls-Peace-%E5%88%9D%E5%9B%9E%E9%99%90%E5%AE%9A%E7%9B%A4/dp/B009K8JVLM</t>
  </si>
  <si>
    <t>https://www.ebay.com/itm/136827520925?nordt=true&amp;orig_cvip=true&amp;rt=nc</t>
  </si>
  <si>
    <t>01-2602-0084</t>
  </si>
  <si>
    <t>4988005743404</t>
  </si>
  <si>
    <t>https://www.amazon.co.jp/dp/B09JRJFFX4?tag=webspire_new-22&amp;linkCode=osi&amp;th=1&amp;psc=1</t>
  </si>
  <si>
    <t>https://www.ebay.com/itm/144351148704?nordt=true&amp;orig_cvip=true&amp;rt=nc</t>
  </si>
  <si>
    <t>01-2602-0085</t>
  </si>
  <si>
    <t>4988003593315</t>
  </si>
  <si>
    <t>https://www.amazon.co.jp/dp/B09PFVZJDT?tag=webspire_new-22&amp;linkCode=osi&amp;th=1&amp;psc=1</t>
  </si>
  <si>
    <t>https://www.ebay.com/itm/144950415400?nordt=true&amp;orig_cvip=true&amp;rt=nc</t>
  </si>
  <si>
    <t>01-2602-0086</t>
  </si>
  <si>
    <t>4988031481561</t>
  </si>
  <si>
    <t>https://www.amazon.co.jp/dp/B00CCTUAIO?tag=webspire_new-22&amp;linkCode=osi&amp;th=1&amp;psc=1</t>
  </si>
  <si>
    <t>https://www.ebay.com/itm/144972991448?nordt=true&amp;orig_cvip=true&amp;rt=nc</t>
  </si>
  <si>
    <t>01-2602-0087</t>
  </si>
  <si>
    <t>4988005770516</t>
  </si>
  <si>
    <t>https://www.amazon.co.jp/dp/B00LSGZQ9U?tag=webspire_new-22&amp;linkCode=osi&amp;th=1&amp;psc=1</t>
  </si>
  <si>
    <t>https://www.ebay.com/itm/177872108040?nordt=true&amp;orig_cvip=true&amp;rt=nc</t>
  </si>
  <si>
    <t>01-2602-0088</t>
  </si>
  <si>
    <t>4571164389073</t>
  </si>
  <si>
    <t>https://www.amazon.co.jp/dp/B0G34YK4KN?tag=webspire_new-22&amp;linkCode=osi&amp;th=1&amp;psc=1</t>
  </si>
  <si>
    <t>https://www.ebay.com/itm/116971753349?nordt=true&amp;orig_cvip=true&amp;rt=nc</t>
  </si>
  <si>
    <t>01-2602-0089</t>
  </si>
  <si>
    <t>4988002951413</t>
  </si>
  <si>
    <t>https://www.amazon.co.jp/-/en/EPOCH-Sylvanian-Families-Certified-Dollhouse/dp/B0CGR11BMH?th=1</t>
  </si>
  <si>
    <t>https://www.ebay.com/itm/115923817164?nordt=true&amp;orig_cvip=true&amp;rt=nc</t>
  </si>
  <si>
    <t>01-2602-0090</t>
  </si>
  <si>
    <t>4905040153791</t>
  </si>
  <si>
    <t>https://www.amazon.co.jp/%E3%82%A8%E3%83%9D%E3%83%83%E3%82%AF-EPOCH-%E3%82%B7%E3%83%AB%E3%83%90%E3%83%8B%E3%82%A2%E3%83%95%E3%82%A1%E3%83%9F%E3%83%AA%E3%83%BC-%E3%83%9A%E3%83%AB%E3%82%B7%E3%83%A3%E3%83%8D%E3%82%B3%E3%81%AE%E3%81%BF%E3%81%A4%E3%81%94%E3%81%A1%E3%82%83%E3%82%93-%E3%83%8B-109/dp/B07LHHLYFL?th=1</t>
  </si>
  <si>
    <t>https://www.ebay.com/itm/205380437731?nordt=true&amp;orig_cvip=true&amp;rt=nc</t>
  </si>
  <si>
    <t>01-2602-0091</t>
  </si>
  <si>
    <t>4905040140579</t>
  </si>
  <si>
    <t>https://www.amazon.co.jp/%E3%82%A8%E3%83%9D%E3%83%83%E3%82%AF-EPOCH-%E3%82%B7%E3%83%AB%E3%83%90%E3%83%8B%E3%82%A2%E3%83%95%E3%82%A1%E3%83%9F%E3%83%AA%E3%83%BC-%E3%82%B1%E3%83%BC%E3%82%AD%E3%81%AE%E3%81%8F%E3%82%8B%E3%81%BE-F%E3%83%BC09/dp/B002EHCX02</t>
  </si>
  <si>
    <t>https://www.ebay.com/itm/227053677863?nordt=true&amp;orig_cvip=true&amp;rt=nc</t>
  </si>
  <si>
    <t>01-2602-0092</t>
  </si>
  <si>
    <t>4905040149206</t>
  </si>
  <si>
    <t>https://www.amazon.co.jp/-/en/EPOCH-Sylvanian-FS-62-Certified-Dollhouse/dp/B0F997N43C?th=1</t>
  </si>
  <si>
    <t>https://www.ebay.com/itm/267367735008?nordt=true&amp;orig_cvip=true&amp;rt=nc</t>
  </si>
  <si>
    <t>01-2602-0093</t>
  </si>
  <si>
    <t>4905040159656</t>
  </si>
  <si>
    <t>https://www.amazon.co.jp/%E3%82%B7%E3%83%AB%E3%83%90%E3%83%8B%E3%82%A2%E3%83%95%E3%82%A1%E3%83%9F%E3%83%AA%E3%83%BC-%E3%83%80%E3%83%AB%E3%83%A1%E3%82%B7%E3%82%A2%E3%83%B3%E3%83%95%E3%82%A1%E3%83%9F%E3%83%AA%E3%83%BC-Sylvanian-Families-EPOCH/dp/B0F9926B3Q?th=1</t>
  </si>
  <si>
    <t>https://www.ebay.com/itm/365927432864?nordt=true&amp;orig_cvip=true&amp;rt=nc</t>
  </si>
  <si>
    <t>01-2602-0094</t>
  </si>
  <si>
    <t>4905040159434</t>
  </si>
  <si>
    <t>https://www.amazon.co.jp/%E3%82%A8%E3%83%9D%E3%83%83%E3%82%AF-EPOCH-FS-32-%E3%82%B7%E3%83%AB%E3%83%90%E3%83%8B%E3%82%A2%E3%83%95%E3%82%A1%E3%83%9F%E3%83%AA%E3%83%BC-%E3%82%AB%E3%83%AF%E3%82%A6%E3%82%BD%E3%83%95%E3%82%A1%E3%83%9F%E3%83%AA%E3%83%BC/dp/B0799JJJSS?th=1</t>
  </si>
  <si>
    <t>https://www.ebay.com/itm/366103709748?nordt=true&amp;orig_cvip=true&amp;rt=nc</t>
  </si>
  <si>
    <t>01-2602-0095</t>
  </si>
  <si>
    <t>4905040143402</t>
  </si>
  <si>
    <t>https://www.amazon.co.jp/%E3%82%B7%E3%83%AB%E3%83%90%E3%83%8B%E3%82%A2%E3%83%95%E3%82%A1%E3%83%9F%E3%83%AA%E3%83%BC-%E3%82%86%E3%81%8D%E3%83%92%E3%83%A7%E3%82%A6%E3%83%95%E3%82%A1%E3%83%9F%E3%83%AA%E3%83%BC-FS-55-Sylvanian-EPOCH/dp/B00727YTK6?th=1</t>
  </si>
  <si>
    <t>https://www.ebay.com/itm/366149476152?nordt=true&amp;orig_cvip=true&amp;rt=nc</t>
  </si>
  <si>
    <t>01-2602-0096</t>
  </si>
  <si>
    <t>4905040145307</t>
  </si>
  <si>
    <t>https://www.amazon.co.jp/%E3%82%B7%E3%83%AB%E3%83%90%E3%83%8B%E3%82%A2%E3%83%95%E3%82%A1%E3%83%9F%E3%83%AA%E3%83%BC-%E3%82%86%E3%81%8D%E3%83%92%E3%83%A7%E3%82%A6%E3%83%95%E3%82%A1%E3%83%9F%E3%83%AA%E3%83%BC-FS-55-Sylvanian-EPOCH/dp/B09TZDNV5N?th=1</t>
  </si>
  <si>
    <t>01-2602-0097</t>
  </si>
  <si>
    <t>4905040149435</t>
  </si>
  <si>
    <t>https://www.amazon.co.jp/%E3%82%B7%E3%83%AB%E3%83%90%E3%83%8B%E3%82%A2%E3%83%95%E3%82%A1%E3%83%9F%E3%83%AA%E3%83%BC-%E3%82%86%E3%81%8D%E3%83%92%E3%83%A7%E3%82%A6%E3%83%95%E3%82%A1%E3%83%9F%E3%83%AA%E3%83%BC-FS-55-Sylvanian-EPOCH/dp/B07X7ZHFW5?th=1</t>
  </si>
  <si>
    <t>01-2602-0098</t>
  </si>
  <si>
    <t>4905040142207</t>
  </si>
  <si>
    <t>https://www.amazon.co.jp/%E3%82%B7%E3%83%AB%E3%83%90%E3%83%8B%E3%82%A2%E3%83%95%E3%82%A1%E3%83%9F%E3%83%AA%E3%83%BC-%E3%82%86%E3%81%8D%E3%83%92%E3%83%A7%E3%82%A6%E3%83%95%E3%82%A1%E3%83%9F%E3%83%AA%E3%83%BC-FS-55-Sylvanian-EPOCH/dp/B07N7MJ146?th=1</t>
  </si>
  <si>
    <t>01-2602-0099</t>
  </si>
  <si>
    <t>4905040140609</t>
  </si>
  <si>
    <t>https://www.amazon.co.jp/%E3%82%B7%E3%83%AB%E3%83%90%E3%83%8B%E3%82%A2%E3%83%95%E3%82%A1%E3%83%9F%E3%83%AA%E3%83%BC-%E3%82%86%E3%81%8D%E3%83%92%E3%83%A7%E3%82%A6%E3%83%95%E3%82%A1%E3%83%9F%E3%83%AA%E3%83%BC-FS-55-Sylvanian-EPOCH/dp/B004KJBEQQ?th=1</t>
  </si>
  <si>
    <t>01-2602-0100</t>
  </si>
  <si>
    <t>4905040142603</t>
  </si>
  <si>
    <t>https://www.amazon.co.jp/%E3%82%B7%E3%83%AB%E3%83%90%E3%83%8B%E3%82%A2%E3%83%95%E3%82%A1%E3%83%9F%E3%83%AA%E3%83%BC-%E3%82%86%E3%81%8D%E3%83%92%E3%83%A7%E3%82%A6%E3%83%95%E3%82%A1%E3%83%9F%E3%83%AA%E3%83%BC-FS-55-Sylvanian-EPOCH/dp/B0CRTDSG35?th=1</t>
  </si>
  <si>
    <t>01-2602-0101</t>
  </si>
  <si>
    <t>4905040155771</t>
  </si>
  <si>
    <t>https://www.amazon.co.jp/%E3%82%B7%E3%83%AB%E3%83%90%E3%83%8B%E3%82%A2%E3%83%95%E3%82%A1%E3%83%9F%E3%83%AA%E3%83%BC-%E3%82%86%E3%81%8D%E3%83%92%E3%83%A7%E3%82%A6%E3%83%95%E3%82%A1%E3%83%9F%E3%83%AA%E3%83%BC-FS-55-Sylvanian-EPOCH/dp/B00727YTP6?th=1</t>
  </si>
  <si>
    <t>01-2602-0102</t>
  </si>
  <si>
    <t>4905040144003</t>
  </si>
  <si>
    <t>https://www.amazon.co.jp/%E3%82%B7%E3%83%AB%E3%83%90%E3%83%8B%E3%82%A2%E3%83%95%E3%82%A1%E3%83%9F%E3%83%AA%E3%83%BC-%E3%82%86%E3%81%8D%E3%83%92%E3%83%A7%E3%82%A6%E3%83%95%E3%82%A1%E3%83%9F%E3%83%AA%E3%83%BC-FS-55-Sylvanian-EPOCH/dp/B01N5SSYIH?th=1</t>
  </si>
  <si>
    <t>01-2602-0103</t>
  </si>
  <si>
    <t>4905040152206</t>
  </si>
  <si>
    <t>https://www.amazon.co.jp/%E3%82%B7%E3%83%AB%E3%83%90%E3%83%8B%E3%82%A2%E3%83%95%E3%82%A1%E3%83%9F%E3%83%AA%E3%83%BC-%E3%82%86%E3%81%8D%E3%83%92%E3%83%A7%E3%82%A6%E3%83%95%E3%82%A1%E3%83%9F%E3%83%AA%E3%83%BC-FS-55-Sylvanian-EPOCH/dp/B09NZSZQ56?th=1</t>
  </si>
  <si>
    <t>01-2602-0104</t>
  </si>
  <si>
    <t xml:space="preserve"> 4905040149169</t>
  </si>
  <si>
    <t>https://www.amazon.co.jp/%E3%82%B7%E3%83%AB%E3%83%90%E3%83%8B%E3%82%A2%E3%83%95%E3%82%A1%E3%83%9F%E3%83%AA%E3%83%BC-%E3%82%86%E3%81%8D%E3%83%92%E3%83%A7%E3%82%A6%E3%83%95%E3%82%A1%E3%83%9F%E3%83%AA%E3%83%BC-FS-55-Sylvanian-EPOCH/dp/B08SCNXM76?th=1</t>
  </si>
  <si>
    <t>01-2602-0105</t>
  </si>
  <si>
    <t xml:space="preserve"> 4905040146472</t>
  </si>
  <si>
    <t>https://www.amazon.co.jp/%E3%82%B7%E3%83%AB%E3%83%90%E3%83%8B%E3%82%A2%E3%83%95%E3%82%A1%E3%83%9F%E3%83%AA%E3%83%BC-%E3%82%86%E3%81%8D%E3%83%92%E3%83%A7%E3%82%A6%E3%83%95%E3%82%A1%E3%83%9F%E3%83%AA%E3%83%BC-FS-55-Sylvanian-EPOCH/dp/B0F89X4SXP?th=1</t>
  </si>
  <si>
    <t>01-2602-0106</t>
  </si>
  <si>
    <t>4905040159465</t>
  </si>
  <si>
    <t>https://www.amazon.co.jp/%E3%82%B7%E3%83%AB%E3%83%90%E3%83%8B%E3%82%A2%E3%83%95%E3%82%A1%E3%83%9F%E3%83%AA%E3%83%BC-%E3%82%86%E3%81%8D%E3%83%92%E3%83%A7%E3%82%A6%E3%83%95%E3%82%A1%E3%83%9F%E3%83%AA%E3%83%BC-FS-55-Sylvanian-EPOCH/dp/B083NZRW4B?th=1</t>
  </si>
  <si>
    <t>01-2602-0107</t>
  </si>
  <si>
    <t>4905040143556</t>
  </si>
  <si>
    <t>https://www.amazon.co.jp/%E3%82%B7%E3%83%AB%E3%83%90%E3%83%8B%E3%82%A2%E3%83%95%E3%82%A1%E3%83%9F%E3%83%AA%E3%83%BC-%E3%82%86%E3%81%8D%E3%83%92%E3%83%A7%E3%82%A6%E3%83%95%E3%82%A1%E3%83%9F%E3%83%AA%E3%83%BC-FS-55-Sylvanian-EPOCH/dp/B08XTMCRKJ?th=1</t>
  </si>
  <si>
    <t>01-2602-0108</t>
  </si>
  <si>
    <t>4905040147448</t>
  </si>
  <si>
    <t>https://www.amazon.co.jp/%E3%82%B7%E3%83%AB%E3%83%90%E3%83%8B%E3%82%A2%E3%83%95%E3%82%A1%E3%83%9F%E3%83%AA%E3%83%BC-%E3%82%86%E3%81%8D%E3%83%92%E3%83%A7%E3%82%A6%E3%83%95%E3%82%A1%E3%83%9F%E3%83%AA%E3%83%BC-FS-55-Sylvanian-EPOCH/dp/B0DR84T51N?th=1</t>
  </si>
  <si>
    <t>01-2602-0109</t>
  </si>
  <si>
    <t>4905040159595</t>
  </si>
  <si>
    <t>https://www.amazon.co.jp/%E3%82%B7%E3%83%AB%E3%83%90%E3%83%8B%E3%82%A2%E3%83%95%E3%82%A1%E3%83%9F%E3%83%AA%E3%83%BC-%E3%82%86%E3%81%8D%E3%83%92%E3%83%A7%E3%82%A6%E3%83%95%E3%82%A1%E3%83%9F%E3%83%AA%E3%83%BC-FS-55-Sylvanian-EPOCH/dp/B09TS4MMZ8?th=1</t>
  </si>
  <si>
    <t>01-2602-0110</t>
  </si>
  <si>
    <t>4905040149121</t>
  </si>
  <si>
    <t>https://www.amazon.co.jp/%E3%82%B7%E3%83%AB%E3%83%90%E3%83%8B%E3%82%A2%E3%83%95%E3%82%A1%E3%83%9F%E3%83%AA%E3%83%BC-%E3%82%86%E3%81%8D%E3%83%92%E3%83%A7%E3%82%A6%E3%83%95%E3%82%A1%E3%83%9F%E3%83%AA%E3%83%BC-FS-55-Sylvanian-EPOCH/dp/B0BQ26LRFV?th=1</t>
  </si>
  <si>
    <t>01-2602-0111</t>
  </si>
  <si>
    <t>4905040153067</t>
  </si>
  <si>
    <t>https://www.amazon.co.jp/%E3%82%B7%E3%83%AB%E3%83%90%E3%83%8B%E3%82%A2%E3%83%95%E3%82%A1%E3%83%9F%E3%83%AA%E3%83%BC-%E3%82%86%E3%81%8D%E3%83%92%E3%83%A7%E3%82%A6%E3%83%95%E3%82%A1%E3%83%9F%E3%83%AA%E3%83%BC-FS-55-Sylvanian-EPOCH/dp/B083NZ54ZS?th=1</t>
  </si>
  <si>
    <t>01-2602-0112</t>
  </si>
  <si>
    <t>4905040140586</t>
  </si>
  <si>
    <t>https://www.amazon.co.jp/%E3%82%B7%E3%83%AB%E3%83%90%E3%83%8B%E3%82%A2%E3%83%95%E3%82%A1%E3%83%9F%E3%83%AA%E3%83%BC-%E3%82%86%E3%81%8D%E3%83%92%E3%83%A7%E3%82%A6%E3%83%95%E3%82%A1%E3%83%9F%E3%83%AA%E3%83%BC-FS-55-Sylvanian-EPOCH/dp/B09QGCCC8R?th=1</t>
  </si>
  <si>
    <t>01-2602-0113</t>
  </si>
  <si>
    <t>4905040149220</t>
  </si>
  <si>
    <t>https://www.amazon.co.jp/%E3%82%B7%E3%83%AB%E3%83%90%E3%83%8B%E3%82%A2%E3%83%95%E3%82%A1%E3%83%9F%E3%83%AA%E3%83%BC-%E3%82%86%E3%81%8D%E3%83%92%E3%83%A7%E3%82%A6%E3%83%95%E3%82%A1%E3%83%9F%E3%83%AA%E3%83%BC-FS-55-Sylvanian-EPOCH/dp/B07LH9L2T3?th=1</t>
  </si>
  <si>
    <t>01-2602-0114</t>
  </si>
  <si>
    <t>4905040146304</t>
  </si>
  <si>
    <t>https://www.amazon.co.jp/%E3%82%B7%E3%83%AB%E3%83%90%E3%83%8B%E3%82%A2%E3%83%95%E3%82%A1%E3%83%9F%E3%83%AA%E3%83%BC-%E3%82%86%E3%81%8D%E3%83%92%E3%83%A7%E3%82%A6%E3%83%95%E3%82%A1%E3%83%9F%E3%83%AA%E3%83%BC-FS-55-Sylvanian-EPOCH/dp/B07HDTTXWR?th=1</t>
  </si>
  <si>
    <t>01-2602-0115</t>
  </si>
  <si>
    <t>4905040144300</t>
  </si>
  <si>
    <t>https://www.amazon.co.jp/%E3%82%B7%E3%83%AB%E3%83%90%E3%83%8B%E3%82%A2%E3%83%95%E3%82%A1%E3%83%9F%E3%83%AA%E3%83%BC-%E3%82%86%E3%81%8D%E3%83%92%E3%83%A7%E3%82%A6%E3%83%95%E3%82%A1%E3%83%9F%E3%83%AA%E3%83%BC-FS-55-Sylvanian-EPOCH/dp/B091XZ6MCJ?th=1</t>
  </si>
  <si>
    <t>01-2602-0116</t>
  </si>
  <si>
    <t>4905040147479</t>
  </si>
  <si>
    <t>https://www.amazon.co.jp/%E3%82%B7%E3%83%AB%E3%83%90%E3%83%8B%E3%82%A2%E3%83%95%E3%82%A1%E3%83%9F%E3%83%AA%E3%83%BC-%E3%82%86%E3%81%8D%E3%83%92%E3%83%A7%E3%82%A6%E3%83%95%E3%82%A1%E3%83%9F%E3%83%AA%E3%83%BC-FS-55-Sylvanian-EPOCH/dp/B0CRTBRWTP?th=1</t>
  </si>
  <si>
    <t>01-2602-0117</t>
  </si>
  <si>
    <t>4905040156075</t>
  </si>
  <si>
    <t>https://www.amazon.co.jp/%E3%82%B7%E3%83%AB%E3%83%90%E3%83%8B%E3%82%A2%E3%83%95%E3%82%A1%E3%83%9F%E3%83%AA%E3%83%BC-%E3%82%86%E3%81%8D%E3%83%92%E3%83%A7%E3%82%A6%E3%83%95%E3%82%A1%E3%83%9F%E3%83%AA%E3%83%BC-FS-55-Sylvanian-EPOCH/dp/B0BSVXH77X?th=1</t>
  </si>
  <si>
    <t>01-2602-0118</t>
  </si>
  <si>
    <t>4905040152954</t>
  </si>
  <si>
    <t>https://www.amazon.co.jp/dp/B0DF73YCQQ?tag=webspire_new-22&amp;linkCode=osi&amp;th=1&amp;psc=1</t>
  </si>
  <si>
    <t>01-2602-0119</t>
  </si>
  <si>
    <t>4904810946212</t>
  </si>
  <si>
    <t>https://www.amazon.co.jp/%E3%82%BF%E3%82%AB%E3%83%A9%E3%83%88%E3%83%9F%E3%83%BC-TAKARA-TOMY-%E3%83%9D%E3%82%B1%E3%83%83%E3%83%88%E3%83%A2%E3%83%B3%E3%82%B9%E3%82%BF%E3%83%BC-MS-01/dp/B0C6DNWHGJ/ref=bmx_dp_d_sccl_1_3/357-9393567-9939435?pd_rd_w=aPWtM&amp;content-id=amzn1.sym.e5933a3b-74ce-430b-bb03-4b81abd9e2c4&amp;pf_rd_p=e5933a3b-74ce-430b-bb03-4b81abd9e2c4&amp;pf_rd_r=33MHGXN75TDYXX3M8TW0&amp;pd_rd_wg=3MZJz&amp;pd_rd_r=83f00e84-a2bc-45f7-bd0d-b7bab25291ec&amp;pd_rd_i=B0C6DNWHGJ&amp;psc=1</t>
  </si>
  <si>
    <t>01-2602-0120</t>
  </si>
  <si>
    <t>4904810946217</t>
  </si>
  <si>
    <t>https://www.amazon.co.jp/%E3%82%BF%E3%82%AB%E3%83%A9%E3%83%88%E3%83%9F%E3%83%BC-TAKARA-TOMY-%E3%83%9D%E3%82%B1%E3%83%83%E3%83%88%E3%83%A2%E3%83%B3%E3%82%B9%E3%82%BF%E3%83%BC-%E3%82%AF%E3%83%AC%E3%83%BC%E3%83%B3%E3%82%B2%E3%83%BC%E3%83%A0/dp/B0C3G5873Y/ref=bmx_dp_d_sccl_1_7/357-9393567-9939435?pd_rd_w=k9RX7&amp;content-id=amzn1.sym.e5933a3b-74ce-430b-bb03-4b81abd9e2c4&amp;pf_rd_p=e5933a3b-74ce-430b-bb03-4b81abd9e2c4&amp;pf_rd_r=RWQ6APWV3YS8AH0JSRFB&amp;pd_rd_wg=SJ70Q&amp;pd_rd_r=17b27cba-961f-461e-a595-63ff49b7dc93&amp;pd_rd_i=B0C3G5873Y&amp;psc=1</t>
  </si>
  <si>
    <t>01-2603-0001</t>
  </si>
  <si>
    <t>https://www.amazon.co.jp/dp/B00CCTU87M?tag=webspire_new-22&amp;linkCode=osi&amp;th=1&amp;psc=1</t>
  </si>
  <si>
    <t>https://www.ebay.com/itm/145127004411?nordt=true&amp;orig_cvip=true&amp;rt=nc</t>
  </si>
  <si>
    <t>01-2603-0002</t>
  </si>
  <si>
    <t>4988005770431</t>
  </si>
  <si>
    <t>https://store.shopping.yahoo.co.jp/hmv/16595936.html?sc_e=afvc_shp_3144472</t>
  </si>
  <si>
    <t>https://www.ebay.com/itm/358265228326?nordt=true&amp;orig_cvip=true&amp;rt=nc</t>
  </si>
  <si>
    <t>01-2603-0003</t>
  </si>
  <si>
    <t>4580891052082</t>
  </si>
  <si>
    <t>https://www.amazon.co.jp/dp/B0GGGJCP3C?tag=webspire_new-22&amp;linkCode=osi&amp;th=1&amp;psc=1</t>
  </si>
  <si>
    <t>https://www.ebay.com/itm/277752111799?nordt=true&amp;orig_cvip=true&amp;rt=nc</t>
  </si>
  <si>
    <t>01-2603-0004</t>
  </si>
  <si>
    <t>4988031848272</t>
  </si>
  <si>
    <t>https://www.amazon.co.jp/dp/B00CCTU7U0?tag=webspire_new-22&amp;linkCode=osi&amp;th=1&amp;psc=1</t>
  </si>
  <si>
    <t>https://www.ebay.com/itm/134568693150?nordt=true&amp;orig_cvip=true&amp;rt=nc</t>
  </si>
  <si>
    <t>01-2603-0005</t>
  </si>
  <si>
    <t>4988005770493</t>
  </si>
  <si>
    <t>https://www.amazon.co.jp/dp/B01GW031SO?tag=webspire_new-22&amp;linkCode=osi&amp;th=1&amp;psc=1</t>
  </si>
  <si>
    <t>https://www.ebay.com/itm/144957740733?nordt=true&amp;orig_cvip=true&amp;rt=nc</t>
  </si>
  <si>
    <t>01-2603-0006</t>
  </si>
  <si>
    <t>4988031161821</t>
  </si>
  <si>
    <t>https://www.amazon.co.jp/dp/B09JRDCCD4?tag=webspire_new-22&amp;linkCode=osi&amp;th=1&amp;psc=1</t>
  </si>
  <si>
    <t>https://www.ebay.com/itm/133979272780?nordt=true&amp;orig_cvip=true&amp;rt=nc</t>
  </si>
  <si>
    <t>01-2603-0007</t>
  </si>
  <si>
    <t>4988003593322</t>
  </si>
  <si>
    <t>https://www.amazon.co.jp/dp/B09KYW27L5?tag=webspire_new-22&amp;linkCode=osi&amp;th=1&amp;psc=1</t>
  </si>
  <si>
    <t>https://www.ebay.com/itm/134455681282?nordt=true&amp;orig_cvip=true&amp;rt=nc</t>
  </si>
  <si>
    <t>01-2603-0008</t>
  </si>
  <si>
    <t>4988031465035</t>
  </si>
  <si>
    <t>https://www.amazon.co.jp/dp/B00CBM24RC?tag=webspire_new-22&amp;linkCode=osi&amp;th=1&amp;psc=1</t>
  </si>
  <si>
    <t>https://www.ebay.com/itm/134468337364?nordt=true&amp;orig_cvip=true&amp;rt=nc</t>
  </si>
  <si>
    <t>01-2603-0009</t>
  </si>
  <si>
    <t>4988006554979</t>
  </si>
  <si>
    <t>https://www.amazon.co.jp/dp/B00CBM24ZY?tag=webspire_new-22&amp;linkCode=osi&amp;th=1&amp;psc=1</t>
  </si>
  <si>
    <t>https://www.ebay.com/itm/134966141486?nordt=true&amp;orig_cvip=true&amp;rt=nc</t>
  </si>
  <si>
    <t>01-2603-0010</t>
  </si>
  <si>
    <t>4988006554986</t>
  </si>
  <si>
    <t>https://www.amazon.co.jp/dp/B00CCTU9EY?tag=webspire_new-22&amp;linkCode=osi&amp;th=1&amp;psc=1</t>
  </si>
  <si>
    <t>https://www.ebay.com/itm/143014037568?nordt=true&amp;orig_cvip=true&amp;rt=nc</t>
  </si>
  <si>
    <t>01-2603-0011</t>
  </si>
  <si>
    <t>4988005770523</t>
  </si>
  <si>
    <t>https://www.amazon.co.jp/dp/B08W5TJTRV?tag=webspire_new-22&amp;linkCode=osi&amp;th=1&amp;psc=1</t>
  </si>
  <si>
    <t>https://www.ebay.com/itm/144043215781?nordt=true&amp;orig_cvip=true&amp;rt=nc</t>
  </si>
  <si>
    <t>01-2603-0012</t>
  </si>
  <si>
    <t>4988031420362</t>
  </si>
  <si>
    <t>https://www.amazon.co.jp/dp/B08LNN5825?tag=webspire_new-22&amp;linkCode=osi&amp;th=1&amp;psc=1</t>
  </si>
  <si>
    <t>https://www.ebay.com/itm/144952366525?nordt=true&amp;orig_cvip=true&amp;rt=nc</t>
  </si>
  <si>
    <t>01-2603-0013</t>
  </si>
  <si>
    <t>4988031406298</t>
  </si>
  <si>
    <t>https://www.amazon.co.jp/dp/B00UI9CFKG?tag=webspire_new-22&amp;linkCode=osi&amp;th=1&amp;psc=1</t>
  </si>
  <si>
    <t>https://www.ebay.com/itm/145061727721?nordt=true&amp;orig_cvip=true&amp;rt=nc</t>
  </si>
  <si>
    <t>01-2603-0014</t>
  </si>
  <si>
    <t>4988005885609</t>
  </si>
  <si>
    <t>https://www.amazon.co.jp/dp/B08LJ166GS?tag=webspire_new-22&amp;linkCode=osi&amp;th=1&amp;psc=1</t>
  </si>
  <si>
    <t>https://www.ebay.com/itm/145269104180?nordt=true&amp;orig_cvip=true&amp;rt=nc</t>
  </si>
  <si>
    <t>01-2603-0015</t>
  </si>
  <si>
    <t>4547366472592</t>
  </si>
  <si>
    <t>https://www.amazon.co.jp/dp/B00CCTU8K4?tag=webspire_new-22&amp;linkCode=osi&amp;th=1&amp;psc=1</t>
  </si>
  <si>
    <t>https://www.ebay.com/itm/146060986929?nordt=true&amp;orig_cvip=true&amp;rt=nc</t>
  </si>
  <si>
    <t>01-2603-0016</t>
  </si>
  <si>
    <t>4988005770547</t>
  </si>
  <si>
    <t>https://www.amazon.co.jp/dp/B006J1H4UI?tag=webspire_new-22&amp;linkCode=osi&amp;th=1&amp;psc=1</t>
  </si>
  <si>
    <t>01-2603-0017</t>
  </si>
  <si>
    <t>4903585550396</t>
  </si>
  <si>
    <t>https://www.amazon.co.jp/dp/B086YF2Z9R?tag=webspire_new-22&amp;linkCode=osi&amp;th=1&amp;psc=1</t>
  </si>
  <si>
    <t>https://www.ebay.com/itm/365735234668?nordt=true&amp;orig_cvip=true&amp;rt=nc</t>
  </si>
  <si>
    <t>01-2603-0018</t>
  </si>
  <si>
    <t>4571164384597</t>
  </si>
  <si>
    <t>https://www.amazon.co.jp/dp/B0GGZC4MF5?tag=webspire_new-22&amp;linkCode=osi&amp;th=1&amp;psc=1</t>
  </si>
  <si>
    <t>https://www.ebay.com/itm/117056124639?nordt=true&amp;orig_cvip=true&amp;rt=nc</t>
  </si>
  <si>
    <t>01-2603-0019</t>
  </si>
  <si>
    <t>4547366796599</t>
  </si>
  <si>
    <t>https://www.amazon.co.jp/dp/B01K24FDKK?tag=webspire_new-22&amp;linkCode=osi&amp;th=1&amp;psc=1</t>
  </si>
  <si>
    <t>https://www.ebay.com/itm/364859422464?nordt=true&amp;orig_cvip=true&amp;rt=nc</t>
  </si>
  <si>
    <t>01-2603-0020</t>
  </si>
  <si>
    <t>4988031180181</t>
  </si>
  <si>
    <t>https://books.rakuten.co.jp/rb/18181401/?scid=af_pc_etc&amp;sc2id=af_106_0_10002231&amp;af_tr_src=i2i_bh__g5_g4&amp;af_tct=t_0_top</t>
  </si>
  <si>
    <t>https://www.ebay.com/itm/365543095533?nordt=true&amp;orig_cvip=true&amp;rt=nc</t>
  </si>
  <si>
    <t>01-2603-0021</t>
  </si>
  <si>
    <t>4988031764619</t>
  </si>
  <si>
    <t>https://www.amazon.co.jp/dp/B01MYE0LV2?tag=webspire_new-22&amp;linkCode=osi&amp;th=1&amp;psc=1</t>
  </si>
  <si>
    <t>https://www.ebay.com/itm/366197727208?nordt=true&amp;orig_cvip=true&amp;rt=nc</t>
  </si>
  <si>
    <t>01-2603-0022</t>
  </si>
  <si>
    <t>4582237837001</t>
  </si>
  <si>
    <t>https://www.qoo10.jp/item/%E7%B5%90%E6%9D%9F%E3%83%90%E3%83%B3%E3%83%89-%E6%9C%9F%E9%96%93%E7%94%9F%E7%94%A3%E9%99%90%E5%AE%9A%E7%9B%A4-CD-%E3%81%BC%E3%81%A3%E3%81%A1%E3%83%BB%E3%81%96%E3%83%BB%E3%82%8D%E3%81%A3%E3%81%8F%EF%BC%81/1158320716?jaehuid=2026381521&amp;vc_lpp=MyY4NDQ3Y2I2ZTk0JjY5YWU1M2ZmJjM2NTVjMSY2OWFmYTU3ZSZhYTVUX2dBSVA5bTItUlh1Q29vQ0tncUtDN2xpN3cmNAlhYTVUX2dBSVA5bTItUlh1Q29vQ0tncUtDN2xpN3cJMDg4NjkyODk5MjAyODU4ODY0MjYwMzA5MDUwMDQ2CQlodHRwczovL3d3dy5zYWl5YXN1bmUuY29tLwk&amp;vc_cec=2__$__26aa5T_gAIP9m2-RXuCooCKgqKC7li7w</t>
  </si>
  <si>
    <t>https://www.ebay.com/itm/385407152699?nordt=true&amp;orig_cvip=true&amp;rt=nc</t>
  </si>
  <si>
    <t>01-2603-0023</t>
  </si>
  <si>
    <t>草稿</t>
  </si>
  <si>
    <t>4534530140937</t>
  </si>
  <si>
    <t>https://www.amazon.co.jp/dp/B0085UYFLC?tag=webspire_new-22&amp;linkCode=osi&amp;th=1&amp;psc=1</t>
  </si>
  <si>
    <t>https://www.ebay.com/itm/116233557806?nordt=true&amp;orig_cvip=true&amp;rt=nc</t>
  </si>
  <si>
    <t>01-2603-0024</t>
  </si>
  <si>
    <t>4560423191014</t>
  </si>
  <si>
    <t>https://www.amazon.co.jp/dp/B0FT25RFR8?tag=webspire_new-22&amp;linkCode=osi&amp;th=1&amp;psc=1</t>
  </si>
  <si>
    <t>https://www.ebay.com/itm/116926842504?nordt=true&amp;orig_cvip=true&amp;rt=nc</t>
  </si>
  <si>
    <t>01-2603-0025</t>
  </si>
  <si>
    <t>4988031815403</t>
  </si>
  <si>
    <t>https://www.amazon.co.jp/%E3%82%A2%E3%83%8B%E3%83%A1%E3%80%8E%E3%82%A6%E3%83%9E%E5%A8%98-%E3%82%B7%E3%83%B3%E3%83%87%E3%83%AC%E3%83%A9%E3%82%B0%E3%83%AC%E3%82%A4%E3%80%8F%E7%AC%AC1%E3%82%AF%E3%83%BC%E3%83%AB%E3%82%A8%E3%83%B3%E3%83%87%E3%82%A3%E3%83%B3%E3%82%B0%E4%B8%BB%E9%A1%8C%E6%AD%8C-%E3%80%8C%E2%88%9E%E3%80%8D-%E3%82%AA%E3%82%B0%E3%83%AA%E3%82%AD%E3%83%A3%E3%83%83%E3%83%97-CV-%E9%AB%98%E6%9F%B3%E7%9F%A5%E8%91%89/dp/B0F3H5RH7G</t>
  </si>
  <si>
    <t>01-2603-0026</t>
  </si>
  <si>
    <t>4988031758052</t>
  </si>
  <si>
    <t>https://www.amazon.co.jp/dp/B0CV7R6HT6?tag=webspire_new-22&amp;linkCode=osi&amp;th=1&amp;psc=1</t>
  </si>
  <si>
    <t>https://www.ebay.com/itm/135721433044?nordt=true&amp;orig_cvip=true&amp;rt=nc</t>
  </si>
  <si>
    <t>01-2603-0027</t>
  </si>
  <si>
    <t>4988104115898</t>
  </si>
  <si>
    <t>https://www.amazon.co.jp/dp/B003V4HNFW?tag=webspire_new-22&amp;linkCode=osi&amp;th=1&amp;psc=1</t>
  </si>
  <si>
    <t>https://www.ebay.com/itm/227088089096?nordt=true&amp;orig_cvip=true&amp;rt=nc</t>
  </si>
  <si>
    <t>01-2603-0028</t>
  </si>
  <si>
    <t>4571292513173</t>
  </si>
  <si>
    <t>https://www.amazon.co.jp/dp/B0GB27MWS4?tag=webspire_new-22&amp;linkCode=osi&amp;th=1&amp;psc=1</t>
  </si>
  <si>
    <t>https://www.ebay.com/itm/227226232789?nordt=true&amp;orig_cvip=true&amp;rt=nc</t>
  </si>
  <si>
    <t>01-2603-0029</t>
  </si>
  <si>
    <t>4547366796070</t>
  </si>
  <si>
    <t>https://store.shopping.yahoo.co.jp/hakushindo/toct-40200.html?sc_e=afvc_shp_3144472</t>
  </si>
  <si>
    <t>https://www.ebay.com/itm/273796164703?nordt=true&amp;orig_cvip=true&amp;rt=nc</t>
  </si>
  <si>
    <t>01-2603-0030</t>
  </si>
  <si>
    <t>4988006214835</t>
  </si>
  <si>
    <t>https://www.amazon.co.jp/dp/B0G6Z6GBDM?tag=webspire_new-22&amp;linkCode=osi&amp;th=1&amp;psc=1</t>
  </si>
  <si>
    <t>https://www.ebay.com/itm/277689188091?nordt=true&amp;orig_cvip=true&amp;rt=nc</t>
  </si>
  <si>
    <t>01-2603-0031</t>
  </si>
  <si>
    <t>4547366795332</t>
  </si>
  <si>
    <t>https://store.shopping.yahoo.co.jp/starclub/vizl-2493.html?sc_e=afvc_shp_3144472</t>
  </si>
  <si>
    <t>https://www.ebay.com/itm/277734722516?nordt=true&amp;orig_cvip=true&amp;rt=nc</t>
  </si>
  <si>
    <t>01-2603-0032</t>
  </si>
  <si>
    <t>4988002951390</t>
  </si>
  <si>
    <t>https://www.amazon.co.jp/%E3%82%B7%E3%83%9E%E3%83%8E-SHIMANO-LD-M68X-28-7lb-%E3%82%B9%E3%83%86%E3%82%A3%E3%83%BC%E3%83%AB%E3%82%B0%E3%83%AC%E3%82%A4/dp/B0CS69R6D8/ref=zg_bs_g_10329362051_d_sccl_3/357-9393567-9939435?th=1&amp;psc=1</t>
  </si>
  <si>
    <t>01-2603-0033</t>
  </si>
  <si>
    <t>4969363115966</t>
  </si>
  <si>
    <t>https://www.amazon.co.jp/dp/B08HQ6SBZ6?tag=webspire_new-22&amp;linkCode=osi&amp;th=1&amp;psc=1</t>
  </si>
  <si>
    <t>https://www.ebay.com/itm/186810483900?nordt=true&amp;orig_cvip=true&amp;rt=nc</t>
  </si>
  <si>
    <t>01-2603-0034</t>
  </si>
  <si>
    <t>0088381728355</t>
  </si>
  <si>
    <t>https://www.amazon.co.jp/dp/B0BXS6WVWT?tag=webspire_new-22&amp;linkCode=osi&amp;th=1&amp;psc=1</t>
  </si>
  <si>
    <t>https://www.ebay.com/itm/185891107150?nordt=true&amp;orig_cvip=true&amp;rt=nc</t>
  </si>
  <si>
    <t>01-2603-0035</t>
  </si>
  <si>
    <t>0088381779166</t>
  </si>
  <si>
    <t>https://www.amazon.co.jp/%E3%82%AF%E3%83%AC%E3%83%8F-KUREHA-PE%E3%83%A9%E3%82%A4%E3%83%B3-%E3%82%B7%E3%83%BC%E3%82%AC%E3%83%BC-200m/dp/B06WV9LH4N/ref=zg_bs_g_10329362051_d_sccl_1/357-9393567-9939435?th=1&amp;psc=1</t>
  </si>
  <si>
    <t>01-2603-0036</t>
  </si>
  <si>
    <t>4562398228559</t>
  </si>
  <si>
    <t>https://www.amazon.co.jp/%E3%82%AF%E3%83%AC%E3%83%8F-KUREHA-PE%E3%83%A9%E3%82%A4%E3%83%B3-%E3%82%B7%E3%83%BC%E3%82%AC%E3%83%BC-200m/dp/B07F8B2ZWL/ref=zg_bs_g_10329362051_d_sccl_1/357-9393567-9939435?th=1&amp;psc=1</t>
  </si>
  <si>
    <t>01-2603-0037</t>
  </si>
  <si>
    <t>https://www.amazon.co.jp/%E3%82%B7%E3%83%9E%E3%83%8E-SHIMANO-LD-M68X-28-7lb-%E3%82%B9%E3%83%86%E3%82%A3%E3%83%BC%E3%83%AB%E3%82%B0%E3%83%AC%E3%82%A4/dp/B0CS6C2V59/ref=zg_bs_g_10329362051_d_sccl_3/357-9393567-9939435?th=1&amp;psc=1</t>
  </si>
  <si>
    <t>01-2603-0038</t>
  </si>
  <si>
    <t>4969363116062</t>
  </si>
  <si>
    <t>https://www.amazon.co.jp/%E3%82%B7%E3%83%9E%E3%83%8E-SHIMANO-%E3%83%A9%E3%82%A4%E3%83%A0%E3%82%B0%E3%83%AA%E3%83%BC%E3%83%B3-17-8lb-PL-M54R/dp/B079MJ9WJ7/ref=zg_bs_g_10329362051_d_sccl_4/357-9393567-9939435?th=1&amp;psc=1</t>
  </si>
  <si>
    <t>01-2603-0039</t>
  </si>
  <si>
    <t>4969363572578</t>
  </si>
  <si>
    <t>https://www.amazon.co.jp/%E3%83%80%E3%82%A4%E3%83%AF-DAIWA-%E3%82%BD%E3%83%AB%E3%83%86%E3%82%A3%E3%82%AC-%E3%83%87%E3%83%A5%E3%83%A9%E3%82%BB%E3%83%B3%E3%82%B5%E3%83%BC-300m/dp/B083WH2G64/ref=zg_bs_g_10329362051_d_sccl_5/357-9393567-9939435?th=1&amp;psc=1</t>
  </si>
  <si>
    <t>01-2603-0040</t>
  </si>
  <si>
    <t xml:space="preserve"> 4550133040528</t>
  </si>
  <si>
    <t>https://www.amazon.co.jp/%E3%82%AF%E3%83%AC%E3%83%8F-KUREHA-%E3%82%B7%E3%83%BC%E3%82%AC%E3%83%BC-%E3%83%AB%E3%82%A2%E3%83%BC%E3%82%A8%E3%83%87%E3%82%A3%E3%82%B7%E3%83%A7%E3%83%B3-150m/dp/B07NHSJ1N7/ref=zg_bs_g_10329362051_d_sccl_10/357-9393567-9939435?th=1&amp;psc=1</t>
  </si>
  <si>
    <t>01-2603-0041</t>
  </si>
  <si>
    <t>4562398228733</t>
  </si>
  <si>
    <t>https://www.amazon.co.jp/%E3%82%AF%E3%83%AC%E3%83%8F-KUREHA-%E3%82%B7%E3%83%BC%E3%82%AC%E3%83%BC-%E3%83%AB%E3%82%A2%E3%83%BC%E3%82%A8%E3%83%87%E3%82%A3%E3%82%B7%E3%83%A7%E3%83%B3-150m/dp/B07NHCBCJ4/ref=zg_bs_g_10329362051_d_sccl_10/357-9393567-9939435?th=1&amp;psc=1</t>
  </si>
  <si>
    <t>01-2603-0042</t>
  </si>
  <si>
    <t>4562398228689</t>
  </si>
  <si>
    <t>https://www.amazon.co.jp/%E3%82%88%E3%81%A4%E3%81%82%E3%81%BF-%E3%82%A8%E3%83%83%E3%82%AF%E3%82%B9%E3%83%96%E3%83%AC%E3%82%A4%E3%83%89-X-Braid-%E3%82%A2%E3%83%83%E3%83%97%E3%82%B0%E3%83%AC%E3%83%BC%E3%83%89-1m%E6%AF%8E15cm%E3%83%9B%E3%83%AF%E3%82%A4%E3%83%88%E3%83%9E%E3%83%BC%E3%82%AF/dp/B084ZY1G8C/ref=zg_bs_g_10329362051_d_sccl_11/357-9393567-9939435?th=1</t>
  </si>
  <si>
    <t>01-2603-0043</t>
  </si>
  <si>
    <t>4582550710456</t>
  </si>
  <si>
    <t>https://www.amazon.co.jp/VARIVAS-%E3%83%90%E3%83%AA%E3%83%90%E3%82%B9-%E3%83%A9%E3%82%A4%E3%83%B3-%E3%82%AD%E3%83%A3%E3%82%B9%E3%83%86%E3%82%A3%E3%83%B3%E3%82%B0MAX%E3%83%91%E3%83%AF%E3%83%BCX8-300m/dp/B07P2FT32V/ref=zg_bs_g_10329362051_d_sccl_11/357-9393567-9939435?th=1&amp;psc=1</t>
  </si>
  <si>
    <t>01-2603-0044</t>
  </si>
  <si>
    <t>4513498104670</t>
  </si>
  <si>
    <t>https://www.amazon.co.jp/%E3%83%90%E3%83%AA%E3%83%90%E3%82%B9-VARIVAS-PE%E3%83%A9%E3%82%A4%E3%83%B3-%E3%82%B8%E3%82%AE%E3%83%B3%E3%82%B010%C3%9710-%E3%83%9E%E3%83%83%E3%82%AF%E3%82%B9%E3%83%91%E3%83%AF%E3%83%BCPE/dp/B0CPSJF646/ref=zg_bs_g_10329362051_d_sccl_12/357-9393567-9939435?th=1&amp;psc=1</t>
  </si>
  <si>
    <t>01-2603-0045</t>
  </si>
  <si>
    <t>4513498128744</t>
  </si>
  <si>
    <t>https://www.amazon.co.jp/%E3%83%A2%E3%83%BC%E3%83%AA%E3%82%B9-MORRIS-PE%E3%83%A9%E3%82%A4%E3%83%B3-%E3%82%B8%E3%82%AE%E3%83%B3%E3%82%B010%C3%9710-%E3%83%9E%E3%83%83%E3%82%AF%E3%82%B9%E3%83%91%E3%83%AF%E3%83%BCPE/dp/B07DW4MMHN/ref=zg_bs_g_10329362051_d_sccl_16/357-9393567-9939435?th=1&amp;psc=1</t>
  </si>
  <si>
    <t>01-2603-0046</t>
  </si>
  <si>
    <t>4513498104700</t>
  </si>
  <si>
    <t>https://www.amazon.co.jp/%E3%83%A2%E3%83%BC%E3%83%AA%E3%82%B9-MORRIS-PE%E3%83%A9%E3%82%A4%E3%83%B3-%E3%82%B8%E3%82%AE%E3%83%B3%E3%82%B010%C3%9710-%E3%83%9E%E3%83%83%E3%82%AF%E3%82%B9%E3%83%91%E3%83%AF%E3%83%BCPE/dp/B07DW1G3D2/ref=zg_bs_g_10329362051_d_sccl_16/357-9393567-9939435?th=1&amp;psc=1</t>
  </si>
  <si>
    <t>01-2603-0047</t>
  </si>
  <si>
    <t>4513498104564</t>
  </si>
  <si>
    <t>https://www.amazon.co.jp/%E3%82%B7%E3%83%9E%E3%83%8E-SHIMANO-PE%E3%83%A9%E3%82%A4%E3%83%B3-38-7lb-PL-F74R/dp/B079M5QTGQ/ref=zg_bs_g_10329362051_d_sccl_17/357-9393567-9939435?th=1</t>
  </si>
  <si>
    <t>01-2603-0048</t>
  </si>
  <si>
    <t>4969363588548</t>
  </si>
  <si>
    <t>https://store.shopping.yahoo.co.jp/samuraitackle/4544565068069.html?sc_e=afvc_shp_3144472</t>
  </si>
  <si>
    <t>01-2603-0049</t>
  </si>
  <si>
    <t>4544565068069</t>
  </si>
  <si>
    <t>01-2603-0050</t>
  </si>
  <si>
    <t>4969363588975</t>
  </si>
  <si>
    <t>https://www.amazon.co.jp/%E3%83%9E%E3%82%AD%E3%82%BF-Makita-%E5%85%85%E9%9B%BB%E5%BC%8F%E7%A9%BA%E6%B0%97%E5%85%A5%E3%82%8C-%E3%83%90%E3%83%83%E3%83%86%E3%83%AA%E3%83%BB%E5%85%85%E9%9B%BB%E5%99%A8%E5%88%A5%E5%A3%B2-MP001GZ/dp/B09F6KYFYS/ref=sr_1_6?crid=2QSHKIGTLFCK1&amp;dib=eyJ2IjoiMSJ9.4n4bSN78OpixJiOhsg9Igbj490-lWhQ256gPm-MydQSL08XeZqH1tSBy0qCtg4qtd61Igj9rBRWUARZxfgp7lXkJxbr-7G_eLshrIh49nFZYl_xQuuZr_foAGf-MsP2R_emqGfp5yaxB9vN6gMlN_bceyvdqSBP6T5ejG9jLIgmovBwNQAAdGnyLxF8vjIwsmpDJm212naafZ_yT7smnGLiEpsQG-kpv8synkHgwx2T2Fo7xEXkPut1KcA7RhvyLTMWpZOtbyMRAe-SOKrHLSOnsjbH6_1LVCR_gYiWGEl4.e2MT5rK1E3jSoDDgOyHrbyp17Bxw0Z_HOyKqMFnTD6M&amp;dib_tag=se&amp;keywords=makita+40v&amp;qid=1773384329&amp;sprefix=makita+40v%2Caps%2C281&amp;sr=8-6</t>
  </si>
  <si>
    <t>https://www.ebay.com/itm/176743323164?nordt=true&amp;orig_cvip=true&amp;rt=nc</t>
  </si>
  <si>
    <t>01-2603-0051</t>
  </si>
  <si>
    <t>088381748926</t>
  </si>
  <si>
    <t>https://www.amazon.co.jp/%E3%82%B7%E3%83%9E%E3%83%8E-SHIMANO-PE%E3%83%A9%E3%82%A4%E3%83%B3-22-4lb-PL-F78R/dp/B079MJ9WG4/ref=zg_bs_g_10329362051_d_sccl_18/357-9393567-9939435?th=1</t>
  </si>
  <si>
    <t>01-2603-0052</t>
  </si>
  <si>
    <t>4969363589088</t>
  </si>
  <si>
    <t>https://www.amazon.co.jp/%E3%83%80%E3%82%A4%E3%83%AF-DAIWA-PE%E3%83%A9%E3%82%A4%E3%83%B3-PE%E3%83%87%E3%83%A5%E3%83%A9%E3%82%BB%E3%83%B3%E3%82%B5%E3%83%BCX8-%E3%83%9E%E3%83%AB%E3%83%81%E3%82%AB%E3%83%A9%E3%83%BC/dp/B08HGVQ1SH/ref=zg_bs_g_10329362051_d_sccl_15/357-9393567-9939435?th=1</t>
  </si>
  <si>
    <t>01-2603-0053</t>
  </si>
  <si>
    <t>4550133116643</t>
  </si>
  <si>
    <t>01-2603-0054</t>
  </si>
  <si>
    <t xml:space="preserve"> 4550133116353</t>
  </si>
  <si>
    <t>https://www.amazon.co.jp/%E3%83%80%E3%82%A4%E3%83%AF-DAIWA-PE%E3%83%A9%E3%82%A4%E3%83%B3-PE%E3%83%87%E3%83%A5%E3%83%A9%E3%82%BB%E3%83%B3%E3%82%B5%E3%83%BCX4-%E3%83%9E%E3%83%AB%E3%83%81%E3%82%AB%E3%83%A9%E3%83%BC/dp/B08HGRX2TV/ref=zg_bs_g_10329362051_d_sccl_16/357-9393567-9939435?th=1&amp;psc=1</t>
  </si>
  <si>
    <t>01-2603-0055</t>
  </si>
  <si>
    <t>4550133059636</t>
  </si>
  <si>
    <t>https://www.amazon.co.jp/%E3%83%80%E3%82%A4%E3%83%AF-DAIWA-PE%E3%83%A9%E3%82%A4%E3%83%B3-PE%E3%83%87%E3%83%A5%E3%83%A9%E3%82%BB%E3%83%B3%E3%82%B5%E3%83%BCX4-%E3%83%9E%E3%83%AB%E3%83%81%E3%82%AB%E3%83%A9%E3%83%BC/dp/B08HGZ7BXZ/ref=zg_bs_g_10329362051_d_sccl_16/357-9393567-9939435?th=1&amp;psc=1</t>
  </si>
  <si>
    <t>01-2603-0056</t>
  </si>
  <si>
    <t>4550133115912</t>
  </si>
  <si>
    <t>https://www.amazon.co.jp/%E3%83%9E%E3%82%AD%E3%82%BF-Makita-DC40RA-%E5%85%85%E9%9B%BB%E5%99%A8DC40RA-40Vmax%E7%94%A8/dp/B0816M5HKP/ref=sr_1_8?crid=2QSHKIGTLFCK1&amp;dib=eyJ2IjoiMSJ9.4n4bSN78OpixJiOhsg9Igbj490-lWhQ256gPm-MydQSL08XeZqH1tSBy0qCtg4qtd61Igj9rBRWUARZxfgp7lXkJxbr-7G_eLshrIh49nFZYl_xQuuZr_foAGf-MsP2R_emqGfp5yaxB9vN6gMlN_bceyvdqSBP6T5ejG9jLIgmovBwNQAAdGnyLxF8vjIwsmpDJm212naafZ_yT7smnGLiEpsQG-kpv8synkHgwx2T2Fo7xEXkPut1KcA7RhvyLTMWpZOtbyMRAe-SOKrHLSOnsjbH6_1LVCR_gYiWGEl4.e2MT5rK1E3jSoDDgOyHrbyp17Bxw0Z_HOyKqMFnTD6M&amp;dib_tag=se&amp;keywords=makita%2B40v&amp;qid=1773384329&amp;sprefix=makita%2B40v%2Caps%2C281&amp;sr=8-8&amp;th=1</t>
  </si>
  <si>
    <t>https://www.ebay.com/itm/405240432423?nordt=true&amp;orig_cvip=true&amp;rt=nc</t>
  </si>
  <si>
    <t>01-2603-0057</t>
  </si>
  <si>
    <t>088381556408</t>
  </si>
  <si>
    <t>https://www.amazon.co.jp/%E3%82%B5%E3%83%B3%E3%83%A9%E3%82%A4%E3%83%B3-SUNLINE-%E3%82%AA%E3%83%BC%E3%83%AB%E3%83%9E%E3%82%A4%E3%83%88-150m-%E3%82%AA%E3%83%AC%E3%83%B3%E3%82%B8/dp/B0BW41CYVM/ref=zg_bs_g_10329362051_d_sccl_22/357-9393567-9939435?th=1</t>
  </si>
  <si>
    <t>01-2603-0058</t>
  </si>
  <si>
    <t>4968813545629</t>
  </si>
  <si>
    <t>https://www.amazon.co.jp/%E3%82%B5%E3%83%B3%E3%83%A9%E3%82%A4%E3%83%B3-SUNLINE-%E3%82%AA%E3%83%BC%E3%83%AB%E3%83%9E%E3%82%A4%E3%83%88-150m-%E3%82%AA%E3%83%AC%E3%83%B3%E3%82%B8/dp/B0DT45Q6CQ/ref=zg_bs_g_10329362051_d_sccl_22/357-9393567-9939435?th=1</t>
  </si>
  <si>
    <t>01-2603-0059</t>
  </si>
  <si>
    <t>4968813549535</t>
  </si>
  <si>
    <t>https://www.amazon.co.jp/%E3%82%B5%E3%83%B3%E3%83%A9%E3%82%A4%E3%83%B3-SUNLINE-%E3%82%AA%E3%83%BC%E3%83%AB%E3%83%9E%E3%82%A4%E3%83%88-150m-%E3%82%AA%E3%83%AC%E3%83%B3%E3%82%B8/dp/B0BW43JVWT/ref=zg_bs_g_10329362051_d_sccl_22/357-9393567-9939435?th=1</t>
  </si>
  <si>
    <t>01-2603-0060</t>
  </si>
  <si>
    <t>4968813545704</t>
  </si>
  <si>
    <t>https://www.amazon.co.jp/%E3%82%B7%E3%83%9E%E3%83%8E-SHIMANO-PE%E3%83%A9%E3%82%A4%E3%83%B3-49-1lb-PL-F74R/dp/B079M54QYQ/ref=zg_bs_g_10329362051_d_sccl_23/357-9393567-9939435?th=1</t>
  </si>
  <si>
    <t>01-2603-0061</t>
  </si>
  <si>
    <t>https://www.amazon.co.jp/%E3%82%B7%E3%83%9E%E3%83%8E-SHIMANO-PE%E3%83%A9%E3%82%A4%E3%83%B3-49-1lb-PL-F74R/dp/B079M54QTB/ref=zg_bs_g_10329362051_d_sccl_23/357-9393567-9939435?th=1</t>
  </si>
  <si>
    <t>01-2603-0062</t>
  </si>
  <si>
    <t>4969363588579</t>
  </si>
  <si>
    <t>https://www.amazon.co.jp/%E3%83%A2%E3%83%BC%E3%83%AA%E3%82%B9-MORRIS-%E3%82%AD%E3%83%A3%E3%82%B9%E3%83%86%E3%82%A3%E3%83%B3%E3%82%B0PE-%E3%83%9E%E3%83%83%E3%82%AF%E3%82%B9%E3%83%91%E3%83%AF%E3%83%BC-%E3%82%B7%E3%83%A7%E3%82%A2%E3%83%9E%E3%82%B9%E3%82%BF%E3%83%BC/dp/B07DVH3WC9/ref=zg_bs_g_10329362051_d_sccl_25/357-9393567-9939435?th=1</t>
  </si>
  <si>
    <t>01-2603-0063</t>
  </si>
  <si>
    <t>4513498104946</t>
  </si>
  <si>
    <t>https://www.amazon.co.jp/%E3%83%9E%E3%82%AD%E3%82%BF-Makita-LS610DZ-%E5%85%85%E9%9B%BB%E5%BC%8F%E3%82%B9%E3%83%A9%E3%82%A4%E3%83%89%E3%83%9E%E3%83%AB%E3%83%8E%E3%82%B3/dp/B07YB74GS1/ref=sr_1_1?crid=IMA55W2IFZCE&amp;dib=eyJ2IjoiMSJ9.7X_D3SpbPT9yqllU0AovWS6CZ0jAr3isBSw-FLl83-bhDM5i9t2AMn_3Dt8OTaVoswcOLFwU3ORSBPCUtG9U17XiEg3OYbLN69RbU1pY4C8wwSnF5-PBtEXLnSKPwgJ_vvQ2kwWBlKEh5UWKOTXqeT_viHhMx9HBuu4E7bUC6axXq8Rh7ypTIquC2zvN9x05m5Vq8RG8XlWjj7vozEBC9g.tvaMsk7W7I1TRDvcXeJO3lSDNEqGLk2GTCQSh7ow6NQ&amp;dib_tag=se&amp;keywords=Makita%2BLS610DZ&amp;qid=1773794814&amp;sprefix=makita%2Bls610dz%2Caps%2C214&amp;sr=8-1&amp;th=1</t>
  </si>
  <si>
    <t>https://www.ebay.com/itm/186755728060?nordt=true&amp;orig_cvip=true&amp;rt=nc</t>
  </si>
  <si>
    <t>01-2603-0068</t>
  </si>
  <si>
    <t>0088381889087</t>
  </si>
  <si>
    <t>https://www.amazon.co.jp/%E3%83%80%E3%82%A4%E3%83%AF-DAIWA-DURA%E3%82%BB%E3%83%B3%E3%82%B5%E3%83%BCX8-400m-18lb/dp/B07RCNCG2Z/ref=zg_bs_g_10329362051_d_sccl_27/357-9393567-9939435?th=1&amp;psc=1</t>
  </si>
  <si>
    <t>01-2603-0069</t>
  </si>
  <si>
    <t>4550133021466</t>
  </si>
  <si>
    <t>https://www.amazon.co.jp/%E3%83%80%E3%82%A4%E3%83%AF-DAIWA-DURA%E3%82%BB%E3%83%B3%E3%82%B5%E3%83%BCX8-400m-18lb/dp/B07RCNCG31/ref=zg_bs_g_10329362051_d_sccl_27/357-9393567-9939435?th=1&amp;psc=1</t>
  </si>
  <si>
    <t>01-2603-0070</t>
  </si>
  <si>
    <t>4550133021510</t>
  </si>
  <si>
    <t>01-2603-0071</t>
  </si>
  <si>
    <t>4550133021558</t>
  </si>
  <si>
    <t>https://www.amazon.co.jp/%E3%82%AF%E3%83%AC%E3%83%8F-KUREHA-%E3%82%B7%E3%83%BC%E3%82%AC%E3%83%BC-150m-1-5%E5%8F%B7/dp/B00XKH3PXE/ref=zg_bs_g_10329362051_d_sccl_29/357-9393567-9939435?th=1&amp;psc=1</t>
  </si>
  <si>
    <t>01-2603-0072</t>
  </si>
  <si>
    <t>4562398220775</t>
  </si>
  <si>
    <t>https://www.amazon.co.jp/%E3%82%88%E3%81%A4%E3%81%82%E3%81%BF-%E3%82%A8%E3%83%83%E3%82%AF%E3%82%B9%E3%83%96%E3%83%AC%E3%82%A4%E3%83%89-X-Braid-%E3%82%B9%E3%83%BC%E3%83%91%E3%83%BC-%E3%82%B8%E3%82%B0%E3%83%9E%E3%83%B3/dp/B084ZXZCBX/ref=zg_bs_g_10329362051_d_sccl_32/357-9393567-9939435?th=1</t>
  </si>
  <si>
    <t>01-2603-0073</t>
  </si>
  <si>
    <t>4582550710807</t>
  </si>
  <si>
    <t>https://www.amazon.co.jp/%E3%82%AF%E3%83%AC%E3%83%8F-KUREHA-PE%E3%83%A9%E3%82%A4%E3%83%B3-11-8%E3%8E%8F-SPE2001-5/dp/B06WV9R8GF/ref=zg_bs_g_10329362051_d_sccl_34/357-9393567-9939435?psc=1</t>
  </si>
  <si>
    <t>01-2603-0074</t>
  </si>
  <si>
    <t>4562398228405</t>
  </si>
  <si>
    <t>https://www.amazon.co.jp/%E3%83%80%E3%82%A4%E3%83%AF-DAIWA-%E3%82%BD%E3%83%AB%E3%83%86%E3%82%A3%E3%82%AC-DURA%E3%82%BB%E3%83%B3%E3%82%B5%E3%83%BCX8-600m/dp/B07S3Y5WZ9/ref=zg_bs_g_10329362051_d_sccl_35/357-9393567-9939435?th=1&amp;psc=1</t>
  </si>
  <si>
    <t>01-2603-0075</t>
  </si>
  <si>
    <t>4550133019623</t>
  </si>
  <si>
    <t>https://www.amazon.co.jp/%E3%83%90%E3%83%AA%E3%83%90%E3%82%B9-VARIVAS-PE%E3%83%A9%E3%82%A4%E3%83%B3-%E3%83%9E%E3%83%83%E3%82%AF%E3%82%B9%E3%83%91%E3%83%AF%E3%83%BCPE-%E3%83%9E%E3%83%BC%E3%82%AD%E3%83%B3%E3%82%B0/dp/B0D46FFLCQ/ref=zg_bs_g_10329362051_d_sccl_37/357-9393567-9939435?th=1&amp;psc=1</t>
  </si>
  <si>
    <t>01-2603-0076</t>
  </si>
  <si>
    <t>4513498129307</t>
  </si>
  <si>
    <t>https://www.amazon.co.jp/%E3%83%87%E3%83%A5%E3%82%A8%E3%83%AB-DUEL-PE%E3%83%A9%E3%82%A4%E3%83%B3-%E3%83%8F%E3%83%BC%E3%83%89%E3%82%B3%E3%82%A2-H4305-5C/dp/B08WZ48HQ2/ref=zg_bs_g_10329362051_d_sccl_38/357-9393567-9939435?th=1</t>
  </si>
  <si>
    <t>01-2603-0078</t>
  </si>
  <si>
    <t>4940764545248</t>
  </si>
  <si>
    <t>https://www.amazon.co.jp/%E3%82%B7%E3%83%9E%E3%83%8E-SHIMANO-%E3%82%AA%E3%82%B7%E3%82%A2%E3%82%B8%E3%82%AC%E3%83%BC-PL-O94P-%E3%83%9E%E3%83%AB%E3%83%81%E3%82%AB%E3%83%A9%E3%83%BC/dp/B0D6641X7L/ref=zg_bs_g_10329362051_d_sccl_39/357-9393567-9939435?th=1&amp;psc=1</t>
  </si>
  <si>
    <t>01-2603-0079</t>
  </si>
  <si>
    <t>4969363122766</t>
  </si>
  <si>
    <t>https://www.amazon.co.jp/%E3%82%B7%E3%83%9E%E3%83%8E-SHIMANO-%E3%82%AA%E3%82%B7%E3%82%A2%E3%82%B8%E3%82%AC%E3%83%BC-PL-O94P-%E3%83%9E%E3%83%AB%E3%83%81%E3%82%AB%E3%83%A9%E3%83%BC/dp/B0D66233J9/ref=zg_bs_g_10329362051_d_sccl_39/357-9393567-9939435?th=1&amp;psc=1</t>
  </si>
  <si>
    <t>01-2603-0080</t>
  </si>
  <si>
    <t>4969363122803</t>
  </si>
  <si>
    <t>https://www.amazon.co.jp/%E3%83%87%E3%83%A5%E3%82%A8%E3%83%AB-DUEL-PE%E3%83%A9%E3%82%A4%E3%83%B3-%E3%82%A2%E3%83%BC%E3%83%9E%E3%83%BC%E3%83%89-H4113/dp/B01CVGBZMM/ref=zg_bs_g_10329362051_d_sccl_35/357-9393567-9939435?th=1&amp;psc=1</t>
  </si>
  <si>
    <t>01-2603-0081</t>
  </si>
  <si>
    <t>4940764502104</t>
  </si>
  <si>
    <t>https://www.amazon.co.jp/%E3%83%87%E3%83%A5%E3%82%A8%E3%83%AB-DUEL-PE%E3%83%A9%E3%82%A4%E3%83%B3-%E3%82%A2%E3%83%BC%E3%83%9E%E3%83%BC%E3%83%89-H4113/dp/B01CVGG086/ref=zg_bs_g_10329362051_d_sccl_35/357-9393567-9939435?th=1&amp;psc=1</t>
  </si>
  <si>
    <t>01-2603-0082</t>
  </si>
  <si>
    <t>4940764502098</t>
  </si>
  <si>
    <t>https://www.amazon.co.jp/%E3%83%80%E3%82%A4%E3%83%AF-DAIWA-%E6%9C%88%E4%B8%8B%E7%BE%8E%E4%BA%BA%E3%83%87%E3%83%A5%E3%83%A9%E3%83%98%E3%83%93%E3%83%BCX4-%E3%83%9B%E3%83%AF%E3%82%A4%E3%83%88%E3%83%94%E3%83%B3%E3%82%AF-0-3-200/dp/B0BZNTGVMG/ref=zg_bs_g_10329362051_d_sccl_36/357-9393567-9939435?th=1</t>
  </si>
  <si>
    <t>01-2603-0083</t>
  </si>
  <si>
    <t>4550133396595</t>
  </si>
  <si>
    <t>https://www.amazon.co.jp/%E3%83%80%E3%82%A4%E3%83%AF-DAIWA-%E3%82%BD%E3%83%AB%E3%83%86%E3%82%A3%E3%82%AC-DURA%E3%82%BB%E3%83%B3%E3%82%B5%E3%83%BCX8-600m/dp/B07S3Y5WZ9/ref=zg_bs_g_10329362051_d_sccl_37/357-9393567-9939435?th=1&amp;psc=1</t>
  </si>
  <si>
    <t>01-2603-0084</t>
  </si>
  <si>
    <t>4550133019630</t>
  </si>
  <si>
    <t>https://www.amazon.co.jp/%E3%82%B7%E3%83%9E%E3%83%8E-SHIMANO-%E3%82%B5%E3%82%A4%E3%83%88%E3%83%A9%E3%82%A4%E3%83%A0-23-4lb-PL-M62R/dp/B079M5QTDF/ref=zg_bs_g_10329362051_d_sccl_43/357-9393567-9939435?th=1&amp;psc=1</t>
  </si>
  <si>
    <t>01-2603-0085</t>
  </si>
  <si>
    <t>4969363572943</t>
  </si>
  <si>
    <t>https://www.amazon.co.jp/%E3%82%B7%E3%83%9E%E3%83%8E-SHIMANO-PE%E3%83%A9%E3%82%A4%E3%83%B3-10m%C3%975%E3%82%AB%E3%83%A9%E3%83%BC-LD-E61T/dp/B0865XTS8D/ref=zg_bs_g_10329362051_d_sccl_46/357-9393567-9939435?th=1</t>
  </si>
  <si>
    <t>01-2603-0086</t>
  </si>
  <si>
    <t>4969363769923</t>
  </si>
  <si>
    <t>https://www.amazon.co.jp/DUEL-%E3%83%87%E3%83%A5%E3%82%A8%E3%83%AB-%E3%82%A2%E3%82%B8%E3%83%B3%E3%82%B0-150m-0-3%E5%8F%B7/dp/B0BSRRWSG9/ref=zg_bs_g_10329362051_d_sccl_47/357-9393567-9939435?th=1</t>
  </si>
  <si>
    <t>01-2603-0087</t>
  </si>
  <si>
    <t>4940764555698</t>
  </si>
  <si>
    <t>https://www.amazon.co.jp/%E3%83%90%E3%83%AA%E3%83%90%E3%82%B9-VARIVAS-%E3%82%A8%E3%82%AE%E3%83%B3%E3%82%B0-%E3%83%9E%E3%83%83%E3%82%AF%E3%82%B9%E3%83%91%E3%83%AF%E3%83%BCPE-150m/dp/B07GFDPPGR/ref=zg_bs_g_10329362051_d_sccl_48/357-9393567-9939435?th=1&amp;psc=1</t>
  </si>
  <si>
    <t>01-2603-0088</t>
  </si>
  <si>
    <t>4513498104489</t>
  </si>
  <si>
    <t>https://www.amazon.co.jp/VARIVAS-%E3%83%90%E3%83%AA%E3%83%90%E3%82%B9-%E3%82%B9%E3%83%BC%E3%83%91%E3%83%BC%E3%83%88%E3%83%A9%E3%82%A6%E3%83%88-%E3%82%A2%E3%83%89%E3%83%90%E3%83%B3%E3%82%B9-%E3%83%9E%E3%83%83%E3%82%AF%E3%82%B9%E3%83%91%E3%83%AF%E3%83%BCPE/dp/B07MZNJQFN/ref=zg_bs_g_10329362051_d_sccl_49/357-9393567-9939435?th=1</t>
  </si>
  <si>
    <t>01-2603-0089</t>
  </si>
  <si>
    <t>https://store.shopping.yahoo.co.jp/toolstakumi2/jn3201.html</t>
  </si>
  <si>
    <t>https://www.ebay.com/itm/176285237113?nordt=true&amp;orig_cvip=true&amp;rt=nc</t>
  </si>
  <si>
    <t>01-2603-0090</t>
  </si>
  <si>
    <t>0088381637770</t>
  </si>
  <si>
    <t>https://www.amazon.co.jp/dp/B00VF1X6R2?tag=webspire_new-22&amp;linkCode=osi&amp;th=1</t>
  </si>
  <si>
    <t>https://www.ebay.com/itm/137036988879?nordt=true&amp;orig_cvip=true&amp;rt=nc</t>
  </si>
  <si>
    <t>01-2603-0091</t>
  </si>
  <si>
    <t>0088381685139</t>
  </si>
  <si>
    <t>01-2603-0092</t>
  </si>
  <si>
    <t>01-2603-0093</t>
  </si>
  <si>
    <t>01-2603-0094</t>
  </si>
  <si>
    <t>01-2603-0095</t>
  </si>
  <si>
    <t>01-2603-0096</t>
  </si>
  <si>
    <t>01-2603-0097</t>
  </si>
  <si>
    <t>01-2603-0098</t>
  </si>
  <si>
    <t>01-2603-0099</t>
  </si>
  <si>
    <t>01-2603-0100</t>
  </si>
  <si>
    <t>01-2603-0101</t>
  </si>
  <si>
    <t>01-2603-0102</t>
  </si>
  <si>
    <t>01-2603-0103</t>
  </si>
  <si>
    <t>01-2603-0104</t>
  </si>
  <si>
    <t>01-2603-0105</t>
  </si>
  <si>
    <t>01-2603-0106</t>
  </si>
  <si>
    <t>01-2603-0107</t>
  </si>
  <si>
    <t>01-2603-0108</t>
  </si>
  <si>
    <t>01-2603-0109</t>
  </si>
  <si>
    <t>01-2603-0110</t>
  </si>
  <si>
    <t>01-2603-0111</t>
  </si>
  <si>
    <t>01-2603-0112</t>
  </si>
  <si>
    <t>01-2603-0113</t>
  </si>
  <si>
    <t>01-2603-0114</t>
  </si>
  <si>
    <t>01-2603-0115</t>
  </si>
  <si>
    <t>01-2603-0116</t>
  </si>
  <si>
    <t>01-2603-0117</t>
  </si>
  <si>
    <t>01-2603-0118</t>
  </si>
  <si>
    <t>01-2603-0119</t>
  </si>
  <si>
    <t>01-2603-0120</t>
  </si>
  <si>
    <t>01-2603-0121</t>
  </si>
  <si>
    <t>01-2603-0122</t>
  </si>
  <si>
    <t>01-2603-0123</t>
  </si>
  <si>
    <t>01-2603-0124</t>
  </si>
  <si>
    <t>01-2603-0125</t>
  </si>
  <si>
    <t>01-2603-0126</t>
  </si>
  <si>
    <t>01-2603-0127</t>
  </si>
  <si>
    <t>01-2603-0128</t>
  </si>
  <si>
    <t>4571614702230</t>
  </si>
  <si>
    <t>4988005486547</t>
  </si>
  <si>
    <t>4580357661605</t>
  </si>
  <si>
    <t>4972525052801</t>
  </si>
  <si>
    <t>4972525053136</t>
  </si>
  <si>
    <t>4901601236385</t>
  </si>
  <si>
    <t>4901601937367</t>
  </si>
  <si>
    <t>4901601240337</t>
  </si>
  <si>
    <t>9784041156834</t>
  </si>
  <si>
    <t>4972525053297</t>
  </si>
  <si>
    <t>4972525053402</t>
  </si>
  <si>
    <t>4972525053419</t>
  </si>
  <si>
    <t>4524334001473</t>
  </si>
  <si>
    <t>4582798814466</t>
  </si>
  <si>
    <t>4972525052443</t>
  </si>
  <si>
    <t>0610446005486</t>
  </si>
  <si>
    <t>なし</t>
  </si>
  <si>
    <t>4582769731358</t>
  </si>
  <si>
    <t>4988031793275</t>
  </si>
  <si>
    <t>4571614702315</t>
  </si>
  <si>
    <t>4571614702520</t>
  </si>
  <si>
    <t>4868010905</t>
  </si>
  <si>
    <t>4527516024406</t>
  </si>
  <si>
    <t>978-4763025067</t>
  </si>
  <si>
    <t>4988031767955</t>
  </si>
  <si>
    <t>4763023306</t>
  </si>
  <si>
    <t>4900963747</t>
  </si>
  <si>
    <t>4766136713</t>
  </si>
  <si>
    <t>4902031318832</t>
  </si>
  <si>
    <t>4943674182459</t>
  </si>
  <si>
    <t>4988031268452</t>
  </si>
  <si>
    <t>4988013342996</t>
  </si>
  <si>
    <t>4943674429905</t>
  </si>
  <si>
    <t>4547366752526</t>
  </si>
  <si>
    <t>4988064585809</t>
  </si>
  <si>
    <t>4573630240178</t>
  </si>
  <si>
    <t>4547366743012</t>
  </si>
  <si>
    <t>4547366743029</t>
  </si>
  <si>
    <t>4573630239493</t>
  </si>
  <si>
    <t>4582660481826</t>
  </si>
  <si>
    <t>4527516024390</t>
  </si>
  <si>
    <t>4540399057224</t>
  </si>
  <si>
    <t>4573630239097</t>
  </si>
  <si>
    <t>4573630252652</t>
  </si>
  <si>
    <t>4573630252676</t>
  </si>
  <si>
    <t>4573630240635</t>
  </si>
  <si>
    <t>4573630240628</t>
  </si>
  <si>
    <t>4573630240642</t>
  </si>
  <si>
    <t>4573630240659</t>
  </si>
  <si>
    <t>4988031809709</t>
  </si>
  <si>
    <t>4547366758627</t>
  </si>
  <si>
    <t>4573630240123(A5)</t>
  </si>
  <si>
    <t>4902805153706</t>
  </si>
  <si>
    <t>4988601462334</t>
  </si>
  <si>
    <t>4988031514597</t>
  </si>
  <si>
    <t>4550182207453</t>
  </si>
  <si>
    <t>4573630240123(A6)</t>
  </si>
  <si>
    <t>4573630240314(A5)</t>
  </si>
  <si>
    <t>4573630240307(a5)</t>
  </si>
  <si>
    <t>4573630240307(A6)</t>
  </si>
  <si>
    <t>4573630240314(A6)</t>
  </si>
  <si>
    <t>4550182248296</t>
  </si>
  <si>
    <t>4582352380352</t>
  </si>
  <si>
    <t>4547366758634</t>
  </si>
  <si>
    <t>4943674415014</t>
  </si>
  <si>
    <t>4550584475498</t>
  </si>
  <si>
    <t>4573630240697</t>
  </si>
  <si>
    <t>4526180737414</t>
  </si>
  <si>
    <t>4974011811862</t>
  </si>
  <si>
    <t>4974011850038</t>
  </si>
  <si>
    <t>4974011802013</t>
  </si>
  <si>
    <t>4571292516747</t>
  </si>
  <si>
    <t>4988031788738</t>
  </si>
  <si>
    <t>4988005731708</t>
  </si>
  <si>
    <t>4571534830143</t>
  </si>
  <si>
    <t>4900669834410</t>
  </si>
  <si>
    <t>8356690670439</t>
  </si>
  <si>
    <t>4529671117436</t>
  </si>
  <si>
    <t>9331486663498</t>
  </si>
  <si>
    <t>4595641460017</t>
  </si>
  <si>
    <t>4570118246943</t>
  </si>
  <si>
    <t>4524667728795</t>
  </si>
  <si>
    <t>4943674414611</t>
  </si>
  <si>
    <t>4988031754429</t>
  </si>
  <si>
    <t>4988002944675</t>
  </si>
  <si>
    <t>4988002771073</t>
  </si>
  <si>
    <t>4580010322485</t>
  </si>
  <si>
    <t>4905040140593</t>
  </si>
  <si>
    <t>4905040149213</t>
  </si>
  <si>
    <t>4905040149640</t>
  </si>
  <si>
    <t>4905040144102</t>
  </si>
  <si>
    <t>4905040159359</t>
  </si>
  <si>
    <t>4905040159618</t>
  </si>
  <si>
    <t>4905040158819</t>
  </si>
  <si>
    <t>4905040152138</t>
  </si>
  <si>
    <t>4905040159472</t>
  </si>
  <si>
    <t>4905040155795</t>
  </si>
  <si>
    <t>4905040952356</t>
  </si>
  <si>
    <t>4905040158543</t>
  </si>
  <si>
    <t>4905040146670</t>
  </si>
  <si>
    <t>4988601460231</t>
  </si>
  <si>
    <t>5054131050477</t>
  </si>
  <si>
    <t>4904810914723</t>
  </si>
  <si>
    <t>4550468992967</t>
  </si>
  <si>
    <t>4905040158932</t>
  </si>
  <si>
    <t>4549526501517</t>
  </si>
  <si>
    <t>4549526501500</t>
  </si>
  <si>
    <t>4580416929424</t>
  </si>
  <si>
    <t>4550675187859</t>
  </si>
  <si>
    <t>4550675187606</t>
  </si>
  <si>
    <t>4550468792666</t>
  </si>
  <si>
    <t>4979750805448</t>
  </si>
  <si>
    <t>4979750782565</t>
  </si>
  <si>
    <t>4988031810774</t>
  </si>
  <si>
    <t>4902370550283</t>
  </si>
  <si>
    <t>4950344475186</t>
  </si>
  <si>
    <t>4950344585021</t>
  </si>
  <si>
    <t>4582660466373</t>
  </si>
  <si>
    <t>4573630241144</t>
  </si>
  <si>
    <t>4573630241113</t>
  </si>
  <si>
    <t>4582660483844</t>
  </si>
  <si>
    <t>4582660483899</t>
  </si>
  <si>
    <t>4573630245432</t>
  </si>
  <si>
    <t>4573630239103</t>
  </si>
  <si>
    <t>4521329431529</t>
  </si>
  <si>
    <t>4902370552072</t>
  </si>
  <si>
    <t>4902370552065</t>
  </si>
  <si>
    <t>4902370551402</t>
  </si>
  <si>
    <t>4988031793008</t>
  </si>
  <si>
    <t>4582616194909</t>
  </si>
  <si>
    <t>4562104042691</t>
  </si>
  <si>
    <t>4950344586325</t>
  </si>
  <si>
    <t>4582769865404</t>
  </si>
  <si>
    <t>4950344995653</t>
  </si>
  <si>
    <t>4950344583461</t>
  </si>
  <si>
    <t>4950344586301</t>
  </si>
  <si>
    <t>4902370546477</t>
  </si>
  <si>
    <t>4902370529692</t>
  </si>
  <si>
    <t>4573102556110</t>
  </si>
  <si>
    <t>4573102574039</t>
  </si>
  <si>
    <t>4950344081240</t>
  </si>
  <si>
    <t>4547366444490</t>
  </si>
  <si>
    <t>4988031809662</t>
  </si>
  <si>
    <t>4988008269543</t>
  </si>
  <si>
    <t>4904810959199</t>
  </si>
  <si>
    <t>4562374252073</t>
  </si>
  <si>
    <t>4562374252066</t>
  </si>
  <si>
    <t>4550624199247</t>
  </si>
  <si>
    <t>4580052760047</t>
  </si>
  <si>
    <t>4550584444685</t>
  </si>
  <si>
    <t>4560419610710</t>
  </si>
  <si>
    <t>4988031614723</t>
  </si>
  <si>
    <t>4550583855116</t>
  </si>
  <si>
    <t>4904810938897</t>
  </si>
  <si>
    <t>4904810938903</t>
  </si>
  <si>
    <t>4550583766825</t>
  </si>
  <si>
    <t>4550583767259</t>
  </si>
  <si>
    <t>4560419590081</t>
  </si>
  <si>
    <t>4580052780663</t>
  </si>
  <si>
    <t>0760646701715</t>
  </si>
  <si>
    <t>4560419572155</t>
  </si>
  <si>
    <t>4582660458675</t>
  </si>
  <si>
    <t>4547366758665</t>
  </si>
  <si>
    <t>4905040156174</t>
  </si>
  <si>
    <t>4905040140395</t>
  </si>
  <si>
    <t>4905040154439</t>
  </si>
  <si>
    <t>4550583855130</t>
  </si>
  <si>
    <t>4988031786963</t>
  </si>
  <si>
    <t>4988031809761</t>
  </si>
  <si>
    <t>4521329431185</t>
  </si>
  <si>
    <t>4902470010502</t>
  </si>
  <si>
    <t>4891228302511</t>
  </si>
  <si>
    <t>4891228314941</t>
  </si>
  <si>
    <t>4891228314996</t>
  </si>
  <si>
    <t>4580575588852</t>
  </si>
  <si>
    <t>4521329374628</t>
  </si>
  <si>
    <t>4904810910381</t>
  </si>
  <si>
    <t>4573630252577</t>
  </si>
  <si>
    <t>4969363048189</t>
  </si>
  <si>
    <t>4547366768794</t>
  </si>
  <si>
    <t>4547366768787</t>
  </si>
  <si>
    <t>4547366768770</t>
  </si>
  <si>
    <t>4582169619485</t>
  </si>
  <si>
    <t>4550133251924</t>
  </si>
  <si>
    <t>4550133162633</t>
  </si>
  <si>
    <t>4526541740756</t>
  </si>
  <si>
    <t>4547366058697</t>
  </si>
  <si>
    <t>4573630239660</t>
  </si>
  <si>
    <t>4513498099723</t>
  </si>
  <si>
    <t>4969363101020</t>
  </si>
  <si>
    <t>4544565068243</t>
  </si>
  <si>
    <t>4521329377186</t>
  </si>
  <si>
    <t>4547366589986</t>
  </si>
  <si>
    <t>0746599758747</t>
  </si>
  <si>
    <t>4560192423323</t>
  </si>
  <si>
    <t>4582671752182</t>
  </si>
  <si>
    <t>4988005770424</t>
  </si>
  <si>
    <t>4582660483530</t>
  </si>
  <si>
    <t>4521329346038</t>
  </si>
  <si>
    <t>4521329362342</t>
  </si>
  <si>
    <t>4521329362540</t>
  </si>
  <si>
    <t>4521329431161</t>
  </si>
  <si>
    <t>4573630241007</t>
  </si>
  <si>
    <t>4582769865220</t>
  </si>
  <si>
    <t>4988031817698</t>
  </si>
  <si>
    <t>4521329431536</t>
  </si>
  <si>
    <t>4988044048270</t>
  </si>
  <si>
    <t>4988002949557</t>
  </si>
  <si>
    <t>4988031676691</t>
  </si>
  <si>
    <t>NZS-925</t>
  </si>
  <si>
    <t>4988105108622</t>
  </si>
  <si>
    <t xml:space="preserve"> 4582622502118</t>
  </si>
  <si>
    <t>4524135262523</t>
  </si>
  <si>
    <t>4534530159120</t>
  </si>
  <si>
    <t>4549767355337</t>
  </si>
  <si>
    <t xml:space="preserve"> 4547366772456</t>
  </si>
  <si>
    <t>4988031335345</t>
  </si>
  <si>
    <t>4582660482397</t>
  </si>
  <si>
    <t>4573630252645</t>
  </si>
  <si>
    <t>4582660481642</t>
  </si>
  <si>
    <t>4573630252669</t>
  </si>
  <si>
    <t>4582769733727</t>
  </si>
  <si>
    <t>4521329361000</t>
  </si>
  <si>
    <t>4521329362496</t>
  </si>
  <si>
    <t>4988031481806</t>
  </si>
  <si>
    <t>4988006695702</t>
  </si>
  <si>
    <t>4945817145413</t>
  </si>
  <si>
    <t>4526180356264</t>
  </si>
  <si>
    <t>4988003474560</t>
  </si>
  <si>
    <t>4526180355380</t>
  </si>
  <si>
    <t>4997184200547</t>
  </si>
  <si>
    <t>4943674084487</t>
  </si>
  <si>
    <t>4582561406478</t>
  </si>
  <si>
    <t>4582660464621</t>
  </si>
  <si>
    <t>4582660481925</t>
  </si>
  <si>
    <t>4988031336335</t>
  </si>
  <si>
    <t>4582660481864</t>
  </si>
  <si>
    <t>GP2501CD1/2</t>
  </si>
  <si>
    <t>4988105108615</t>
  </si>
  <si>
    <t>9784758023115</t>
  </si>
  <si>
    <t>UDBT01BDR</t>
  </si>
  <si>
    <t>DAP-G501CD1/2</t>
  </si>
  <si>
    <t>ZODIAC 810</t>
  </si>
  <si>
    <t>MD-1150A/B</t>
  </si>
  <si>
    <t>GX204A/B</t>
  </si>
  <si>
    <t>PJZ-932A/B</t>
  </si>
  <si>
    <t>LAF3143</t>
  </si>
  <si>
    <t>管理番号 D1148</t>
  </si>
  <si>
    <t>PJZ-931A/B</t>
  </si>
  <si>
    <t>PJZ-930A/B</t>
  </si>
  <si>
    <t>GX203A/B</t>
  </si>
  <si>
    <t>LAF3142</t>
  </si>
  <si>
    <t>251011CDR1/2</t>
  </si>
  <si>
    <t>PJZ-929A/B</t>
  </si>
  <si>
    <t>GEP-407</t>
  </si>
  <si>
    <t>4988104139672</t>
  </si>
  <si>
    <t>4573102688736</t>
  </si>
  <si>
    <t>4573102691651</t>
  </si>
  <si>
    <t>4573102691699</t>
  </si>
  <si>
    <t>0887961950779</t>
  </si>
  <si>
    <t>4972825223062</t>
  </si>
  <si>
    <t>4972825146194</t>
  </si>
  <si>
    <t>4972825226520</t>
  </si>
  <si>
    <t>4582660450464</t>
  </si>
  <si>
    <t>0194735228560</t>
  </si>
  <si>
    <t>4580235729182</t>
  </si>
  <si>
    <t>0194735107858</t>
  </si>
  <si>
    <t>0194735107919</t>
  </si>
  <si>
    <t>0194735026647</t>
  </si>
  <si>
    <t>0887961950762</t>
  </si>
  <si>
    <t>4972825146231</t>
  </si>
  <si>
    <t>4972825220481</t>
  </si>
  <si>
    <t>0887961971651</t>
  </si>
  <si>
    <t>0793631418800</t>
  </si>
  <si>
    <t>4972825146248</t>
  </si>
  <si>
    <t>4972825146804</t>
  </si>
  <si>
    <t>0194735026685</t>
  </si>
  <si>
    <t>0194735107872</t>
  </si>
  <si>
    <t>0194735026609</t>
  </si>
  <si>
    <t>0887961971538</t>
  </si>
  <si>
    <t>0194735179749</t>
  </si>
  <si>
    <t>0194735026623</t>
  </si>
  <si>
    <t>4582660482564</t>
  </si>
  <si>
    <t>4573630240376</t>
  </si>
  <si>
    <t>4948872016728</t>
  </si>
  <si>
    <t>4582660483738</t>
  </si>
  <si>
    <t>4582660483776</t>
  </si>
  <si>
    <t>0194735093083</t>
  </si>
  <si>
    <t>4988031818794</t>
  </si>
  <si>
    <t>4547366747133</t>
  </si>
  <si>
    <t>4988031787007</t>
  </si>
  <si>
    <t>4580211855539</t>
  </si>
  <si>
    <t>4988031100165</t>
  </si>
  <si>
    <t>4988031651216</t>
  </si>
  <si>
    <t>4904810177098</t>
  </si>
  <si>
    <t>4904810213093</t>
  </si>
  <si>
    <t>0194735039357</t>
  </si>
  <si>
    <t>4904810937470</t>
  </si>
  <si>
    <t>4979750793417</t>
  </si>
  <si>
    <t>4571394092262</t>
  </si>
  <si>
    <t>4904810165392</t>
  </si>
  <si>
    <t>0779324865366</t>
  </si>
  <si>
    <t>4972825222737</t>
  </si>
  <si>
    <t>4573102685551</t>
  </si>
  <si>
    <t>4904810902904</t>
  </si>
  <si>
    <t>4570001955594</t>
  </si>
  <si>
    <t>4570117430664</t>
  </si>
  <si>
    <t>9781646093595</t>
  </si>
  <si>
    <t>4580416945141</t>
  </si>
  <si>
    <t>4545784013618</t>
  </si>
  <si>
    <t>4580779534136</t>
  </si>
  <si>
    <t>0037936292872</t>
  </si>
  <si>
    <t>0783495116813</t>
  </si>
  <si>
    <t>4550433007344</t>
  </si>
  <si>
    <t>4904810958734</t>
  </si>
  <si>
    <t>0194735170517</t>
  </si>
  <si>
    <t>0194735107841</t>
  </si>
  <si>
    <t>4528403002811</t>
  </si>
  <si>
    <t>4535123833441</t>
  </si>
  <si>
    <t>0887961928761</t>
  </si>
  <si>
    <t>4580590207240</t>
  </si>
  <si>
    <t>4530956472232</t>
  </si>
  <si>
    <t>4573630240369</t>
  </si>
  <si>
    <t>4571598072480</t>
  </si>
  <si>
    <t>4962485204433</t>
  </si>
  <si>
    <t>4003773080558</t>
  </si>
  <si>
    <t>4582660484612</t>
  </si>
  <si>
    <t>4948872416863</t>
  </si>
  <si>
    <t>4905789169015</t>
  </si>
  <si>
    <t>0194735266876</t>
  </si>
  <si>
    <t>0194735186860</t>
  </si>
  <si>
    <t>0194735186686</t>
  </si>
  <si>
    <t>0194735186549</t>
  </si>
  <si>
    <t>0194735262465</t>
  </si>
  <si>
    <t>‘0194735049851</t>
  </si>
  <si>
    <t>预售20251231</t>
  </si>
  <si>
    <t>‘0759170072798</t>
  </si>
  <si>
    <t>‘0820103911450</t>
  </si>
  <si>
    <t>0735280681914</t>
  </si>
  <si>
    <t xml:space="preserve"> 0719812019611</t>
  </si>
  <si>
    <t>0707516331207</t>
  </si>
  <si>
    <t>0603894278076</t>
  </si>
  <si>
    <t xml:space="preserve"> 0602478950612</t>
  </si>
  <si>
    <t>0785525739931</t>
  </si>
  <si>
    <t>0197193454588</t>
  </si>
  <si>
    <t>‘0887961966237</t>
  </si>
  <si>
    <t>‘0820909978091</t>
  </si>
  <si>
    <t>找不到，需要再确认</t>
  </si>
  <si>
    <t>‘0717504749822</t>
  </si>
  <si>
    <t>‘0788809708500</t>
  </si>
  <si>
    <t>0820909739173</t>
  </si>
  <si>
    <t>978-4057508016</t>
  </si>
  <si>
    <t>978-4757583283</t>
  </si>
  <si>
    <t>978-4065372968</t>
  </si>
  <si>
    <t>978-4757592766</t>
  </si>
  <si>
    <t>01-2601-0056，57套装</t>
  </si>
  <si>
    <t>日元</t>
  </si>
  <si>
    <t>重量上限 (kg)</t>
  </si>
  <si>
    <t>运费 (JPY)</t>
  </si>
  <si>
    <t>关税</t>
  </si>
  <si>
    <t>关税手续费</t>
  </si>
  <si>
    <t>关税基础上</t>
  </si>
  <si>
    <t>通关手续费</t>
  </si>
  <si>
    <t>eBay交易手续费</t>
  </si>
  <si>
    <t>美元/笔</t>
  </si>
  <si>
    <t>消费税、VAT、GST</t>
  </si>
  <si>
    <t>预设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</si>
</sst>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[$￥-804]#,##0.00"/>
    <numFmt numFmtId="166" formatCode="[$$]#,##0.00"/>
    <numFmt numFmtId="167" formatCode="[$￥-804]#,##0"/>
  </numFmts>
  <fonts count="49">
    <font>
      <sz val="10.0"/>
      <color rgb="FF000000"/>
      <name val="Arial"/>
      <scheme val="minor"/>
    </font>
    <font>
      <sz val="10.0"/>
      <color rgb="FFFFFFFF"/>
      <name val="HiraKakuProN-W3"/>
    </font>
    <font>
      <color theme="1"/>
      <name val="Arial"/>
      <scheme val="minor"/>
    </font>
    <font>
      <color rgb="FFFFFFFF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color rgb="FF000000"/>
      <name val="Verdana"/>
    </font>
    <font>
      <sz val="10.0"/>
      <color rgb="FF000000"/>
      <name val="Verdana"/>
    </font>
    <font>
      <color rgb="FFFF9900"/>
      <name val="Arial"/>
      <scheme val="minor"/>
    </font>
    <font>
      <b/>
      <color rgb="FF000000"/>
      <name val="Verdana"/>
    </font>
    <font>
      <u/>
      <color rgb="FF1155CC"/>
      <name val="Arial"/>
    </font>
    <font>
      <sz val="10.0"/>
      <color theme="1"/>
      <name val="Arial"/>
      <scheme val="minor"/>
    </font>
    <font>
      <u/>
      <color rgb="FF0000FF"/>
    </font>
    <font>
      <sz val="10.0"/>
      <color rgb="FF191919"/>
      <name val="Arial"/>
      <scheme val="minor"/>
    </font>
    <font>
      <sz val="11.0"/>
      <color rgb="FF191919"/>
      <name val="Arial"/>
      <scheme val="minor"/>
    </font>
    <font>
      <sz val="11.0"/>
      <color rgb="FF191919"/>
      <name val="&quot;Market Sans&quot;"/>
    </font>
    <font>
      <u/>
      <color rgb="FF0F1111"/>
      <name val="&quot;Hiragino Kaku Gothic ProN&quot;"/>
    </font>
    <font>
      <u/>
      <color rgb="FF0000FF"/>
      <name val="Arial"/>
    </font>
    <font>
      <u/>
      <color rgb="FFFF9900"/>
    </font>
    <font>
      <u/>
      <color rgb="FF000000"/>
      <name val="Verdana"/>
    </font>
    <font>
      <u/>
      <color rgb="FF0000FF"/>
    </font>
    <font>
      <color rgb="FFF4CCCC"/>
      <name val="Arial"/>
      <scheme val="minor"/>
    </font>
    <font>
      <color rgb="FFDD7E6B"/>
      <name val="Arial"/>
      <scheme val="minor"/>
    </font>
    <font>
      <sz val="9.0"/>
      <color rgb="FF000000"/>
      <name val="Verdana"/>
    </font>
    <font>
      <u/>
      <sz val="12.0"/>
      <color rgb="FF1F1F1F"/>
      <name val="&quot;Google Sans Flex&quot;"/>
    </font>
    <font>
      <sz val="13.0"/>
      <color rgb="FF191919"/>
      <name val="&quot;Market Sans&quot;"/>
    </font>
    <font>
      <b/>
      <u/>
      <color rgb="FF0000FF"/>
    </font>
    <font>
      <sz val="11.0"/>
      <color rgb="FF000000"/>
      <name val="Arial"/>
    </font>
    <font>
      <sz val="10.0"/>
      <color rgb="FF191919"/>
      <name val="&quot;Market Sans&quot;"/>
    </font>
    <font>
      <u/>
      <color rgb="FF0000FF"/>
    </font>
    <font>
      <u/>
      <color rgb="FF0000FF"/>
      <name val="Arial"/>
    </font>
    <font>
      <b/>
      <color theme="1"/>
      <name val="Arial"/>
    </font>
    <font>
      <sz val="10.0"/>
      <color rgb="FF191919"/>
      <name val="Arial"/>
    </font>
    <font>
      <u/>
      <color rgb="FFFF0000"/>
      <name val="Arial"/>
    </font>
    <font>
      <color rgb="FF0F1111"/>
      <name val="Arial"/>
    </font>
    <font>
      <sz val="11.0"/>
      <color rgb="FF191919"/>
      <name val="Arial"/>
    </font>
    <font>
      <sz val="11.0"/>
      <color rgb="FF191919"/>
      <name val="Market Sans"/>
    </font>
    <font>
      <color theme="1"/>
      <name val="Verdana"/>
    </font>
    <font>
      <sz val="11.0"/>
      <color rgb="FF0F1111"/>
      <name val="Arial"/>
    </font>
    <font>
      <sz val="11.0"/>
      <color rgb="FF434343"/>
      <name val="Arial"/>
    </font>
    <font>
      <sz val="9.0"/>
      <color rgb="FF808080"/>
      <name val="Open Sans"/>
    </font>
    <font>
      <sz val="13.0"/>
      <color rgb="FF191919"/>
      <name val="Market Sans"/>
    </font>
    <font>
      <sz val="9.0"/>
      <color theme="1"/>
      <name val="Verdana"/>
    </font>
    <font>
      <color rgb="FF191919"/>
      <name val="Market Sans"/>
    </font>
    <font>
      <sz val="12.0"/>
      <color theme="1"/>
      <name val="Arial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EFEFE"/>
        <bgColor rgb="FFFEFEF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10" xfId="0" applyAlignment="1" applyFill="1" applyFont="1" applyNumberFormat="1">
      <alignment readingOrder="0"/>
    </xf>
    <xf borderId="0" fillId="4" fontId="2" numFmtId="10" xfId="0" applyFill="1" applyFont="1" applyNumberFormat="1"/>
    <xf borderId="0" fillId="0" fontId="2" numFmtId="0" xfId="0" applyAlignment="1" applyFont="1">
      <alignment horizontal="right"/>
    </xf>
    <xf borderId="0" fillId="5" fontId="2" numFmtId="0" xfId="0" applyFill="1" applyFont="1"/>
    <xf borderId="0" fillId="6" fontId="2" numFmtId="0" xfId="0" applyFill="1" applyFont="1"/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4" numFmtId="0" xfId="0" applyFont="1"/>
    <xf borderId="0" fillId="3" fontId="2" numFmtId="165" xfId="0" applyAlignment="1" applyFont="1" applyNumberFormat="1">
      <alignment horizontal="right" readingOrder="0"/>
    </xf>
    <xf borderId="0" fillId="3" fontId="2" numFmtId="0" xfId="0" applyAlignment="1" applyFont="1">
      <alignment horizontal="right" readingOrder="0"/>
    </xf>
    <xf borderId="0" fillId="5" fontId="2" numFmtId="0" xfId="0" applyAlignment="1" applyFont="1">
      <alignment horizontal="right" readingOrder="0"/>
    </xf>
    <xf borderId="0" fillId="3" fontId="5" numFmtId="166" xfId="0" applyAlignment="1" applyFont="1" applyNumberFormat="1">
      <alignment horizontal="right" readingOrder="0"/>
    </xf>
    <xf borderId="0" fillId="5" fontId="2" numFmtId="166" xfId="0" applyAlignment="1" applyFont="1" applyNumberFormat="1">
      <alignment readingOrder="0"/>
    </xf>
    <xf borderId="0" fillId="5" fontId="5" numFmtId="166" xfId="0" applyFont="1" applyNumberFormat="1"/>
    <xf borderId="0" fillId="5" fontId="2" numFmtId="3" xfId="0" applyFont="1" applyNumberFormat="1"/>
    <xf borderId="0" fillId="5" fontId="2" numFmtId="167" xfId="0" applyFont="1" applyNumberFormat="1"/>
    <xf borderId="0" fillId="5" fontId="2" numFmtId="165" xfId="0" applyFont="1" applyNumberFormat="1"/>
    <xf borderId="0" fillId="5" fontId="2" numFmtId="10" xfId="0" applyFont="1" applyNumberFormat="1"/>
    <xf borderId="0" fillId="5" fontId="5" numFmtId="10" xfId="0" applyFont="1" applyNumberFormat="1"/>
    <xf borderId="0" fillId="5" fontId="2" numFmtId="166" xfId="0" applyFont="1" applyNumberFormat="1"/>
    <xf borderId="0" fillId="0" fontId="2" numFmtId="4" xfId="0" applyFont="1" applyNumberForma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2" numFmtId="49" xfId="0" applyFont="1" applyNumberFormat="1"/>
    <xf borderId="0" fillId="0" fontId="8" numFmtId="0" xfId="0" applyAlignment="1" applyFont="1">
      <alignment vertical="bottom"/>
    </xf>
    <xf borderId="0" fillId="0" fontId="9" numFmtId="49" xfId="0" applyAlignment="1" applyFont="1" applyNumberFormat="1">
      <alignment readingOrder="0"/>
    </xf>
    <xf borderId="0" fillId="0" fontId="2" numFmtId="10" xfId="0" applyFont="1" applyNumberFormat="1"/>
    <xf borderId="0" fillId="8" fontId="10" numFmtId="49" xfId="0" applyAlignment="1" applyFill="1" applyFont="1" applyNumberFormat="1">
      <alignment readingOrder="0"/>
    </xf>
    <xf borderId="0" fillId="0" fontId="7" numFmtId="49" xfId="0" applyAlignment="1" applyFont="1" applyNumberFormat="1">
      <alignment vertical="bottom"/>
    </xf>
    <xf borderId="0" fillId="0" fontId="0" numFmtId="4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49" xfId="0" applyAlignment="1" applyFont="1" applyNumberFormat="1">
      <alignment readingOrder="0"/>
    </xf>
    <xf borderId="0" fillId="0" fontId="13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14" numFmtId="49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9" fontId="16" numFmtId="49" xfId="0" applyAlignment="1" applyFill="1" applyFont="1" applyNumberFormat="1">
      <alignment readingOrder="0"/>
    </xf>
    <xf borderId="0" fillId="0" fontId="14" numFmtId="49" xfId="0" applyFont="1" applyNumberFormat="1"/>
    <xf borderId="0" fillId="9" fontId="17" numFmtId="49" xfId="0" applyAlignment="1" applyFont="1" applyNumberFormat="1">
      <alignment readingOrder="0"/>
    </xf>
    <xf borderId="0" fillId="9" fontId="18" numFmtId="49" xfId="0" applyAlignment="1" applyFont="1" applyNumberFormat="1">
      <alignment readingOrder="0"/>
    </xf>
    <xf borderId="0" fillId="9" fontId="19" numFmtId="0" xfId="0" applyAlignment="1" applyFont="1">
      <alignment readingOrder="0"/>
    </xf>
    <xf borderId="0" fillId="0" fontId="10" numFmtId="49" xfId="0" applyAlignment="1" applyFont="1" applyNumberFormat="1">
      <alignment readingOrder="0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5" fontId="25" numFmtId="0" xfId="0" applyAlignment="1" applyFont="1">
      <alignment horizontal="right" readingOrder="0"/>
    </xf>
    <xf borderId="0" fillId="0" fontId="26" numFmtId="49" xfId="0" applyAlignment="1" applyFont="1" applyNumberFormat="1">
      <alignment readingOrder="0"/>
    </xf>
    <xf borderId="0" fillId="9" fontId="27" numFmtId="0" xfId="0" applyAlignment="1" applyFont="1">
      <alignment readingOrder="0"/>
    </xf>
    <xf borderId="0" fillId="9" fontId="28" numFmtId="49" xfId="0" applyAlignment="1" applyFont="1" applyNumberFormat="1">
      <alignment readingOrder="0"/>
    </xf>
    <xf borderId="0" fillId="0" fontId="7" numFmtId="164" xfId="0" applyAlignment="1" applyFont="1" applyNumberFormat="1">
      <alignment readingOrder="0" vertical="bottom"/>
    </xf>
    <xf borderId="0" fillId="0" fontId="29" numFmtId="0" xfId="0" applyAlignment="1" applyFont="1">
      <alignment readingOrder="0"/>
    </xf>
    <xf borderId="0" fillId="0" fontId="30" numFmtId="49" xfId="0" applyAlignment="1" applyFont="1" applyNumberFormat="1">
      <alignment readingOrder="0"/>
    </xf>
    <xf borderId="0" fillId="9" fontId="31" numFmtId="4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2" numFmtId="0" xfId="0" applyAlignment="1" applyFont="1">
      <alignment horizontal="center" readingOrder="0"/>
    </xf>
    <xf borderId="0" fillId="0" fontId="33" numFmtId="0" xfId="0" applyAlignment="1" applyFont="1">
      <alignment readingOrder="0" vertical="bottom"/>
    </xf>
    <xf borderId="0" fillId="0" fontId="7" numFmtId="49" xfId="0" applyAlignment="1" applyFont="1" applyNumberFormat="1">
      <alignment readingOrder="0" vertical="bottom"/>
    </xf>
    <xf borderId="0" fillId="3" fontId="7" numFmtId="10" xfId="0" applyAlignment="1" applyFont="1" applyNumberFormat="1">
      <alignment horizontal="right" vertical="bottom"/>
    </xf>
    <xf borderId="0" fillId="3" fontId="7" numFmtId="165" xfId="0" applyAlignment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0" fillId="5" fontId="7" numFmtId="0" xfId="0" applyAlignment="1" applyFont="1">
      <alignment horizontal="right" vertical="bottom"/>
    </xf>
    <xf borderId="0" fillId="3" fontId="7" numFmtId="166" xfId="0" applyAlignment="1" applyFont="1" applyNumberFormat="1">
      <alignment readingOrder="0" vertical="bottom"/>
    </xf>
    <xf borderId="0" fillId="5" fontId="7" numFmtId="0" xfId="0" applyAlignment="1" applyFont="1">
      <alignment horizontal="right" vertical="bottom"/>
    </xf>
    <xf borderId="0" fillId="5" fontId="7" numFmtId="166" xfId="0" applyAlignment="1" applyFont="1" applyNumberFormat="1">
      <alignment horizontal="right" vertical="bottom"/>
    </xf>
    <xf borderId="0" fillId="5" fontId="34" numFmtId="166" xfId="0" applyAlignment="1" applyFont="1" applyNumberFormat="1">
      <alignment horizontal="right" vertical="bottom"/>
    </xf>
    <xf borderId="0" fillId="5" fontId="7" numFmtId="3" xfId="0" applyAlignment="1" applyFont="1" applyNumberFormat="1">
      <alignment horizontal="right" vertical="bottom"/>
    </xf>
    <xf borderId="0" fillId="5" fontId="7" numFmtId="167" xfId="0" applyAlignment="1" applyFont="1" applyNumberFormat="1">
      <alignment horizontal="right" vertical="bottom"/>
    </xf>
    <xf borderId="0" fillId="4" fontId="7" numFmtId="10" xfId="0" applyAlignment="1" applyFont="1" applyNumberFormat="1">
      <alignment horizontal="right" vertical="bottom"/>
    </xf>
    <xf borderId="0" fillId="5" fontId="7" numFmtId="165" xfId="0" applyAlignment="1" applyFont="1" applyNumberFormat="1">
      <alignment horizontal="right" vertical="bottom"/>
    </xf>
    <xf borderId="0" fillId="5" fontId="7" numFmtId="10" xfId="0" applyAlignment="1" applyFont="1" applyNumberFormat="1">
      <alignment horizontal="center" vertical="bottom"/>
    </xf>
    <xf borderId="0" fillId="5" fontId="34" numFmtId="10" xfId="0" applyAlignment="1" applyFont="1" applyNumberFormat="1">
      <alignment horizontal="center" vertical="bottom"/>
    </xf>
    <xf borderId="0" fillId="3" fontId="7" numFmtId="0" xfId="0" applyAlignment="1" applyFont="1">
      <alignment horizontal="right" readingOrder="0" vertical="bottom"/>
    </xf>
    <xf borderId="0" fillId="3" fontId="7" numFmtId="0" xfId="0" applyAlignment="1" applyFont="1">
      <alignment horizontal="right" vertical="bottom"/>
    </xf>
    <xf borderId="0" fillId="3" fontId="7" numFmtId="0" xfId="0" applyAlignment="1" applyFont="1">
      <alignment horizontal="right" vertical="bottom"/>
    </xf>
    <xf borderId="0" fillId="9" fontId="35" numFmtId="49" xfId="0" applyAlignment="1" applyFont="1" applyNumberFormat="1">
      <alignment readingOrder="0"/>
    </xf>
    <xf borderId="0" fillId="3" fontId="7" numFmtId="10" xfId="0" applyAlignment="1" applyFont="1" applyNumberFormat="1">
      <alignment horizontal="right" readingOrder="0" vertical="bottom"/>
    </xf>
    <xf borderId="0" fillId="0" fontId="36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3" fontId="7" numFmtId="166" xfId="0" applyAlignment="1" applyFont="1" applyNumberFormat="1">
      <alignment vertical="bottom"/>
    </xf>
    <xf borderId="0" fillId="9" fontId="37" numFmtId="49" xfId="0" applyAlignment="1" applyFont="1" applyNumberFormat="1">
      <alignment readingOrder="0"/>
    </xf>
    <xf borderId="0" fillId="3" fontId="7" numFmtId="165" xfId="0" applyAlignment="1" applyFont="1" applyNumberFormat="1">
      <alignment vertical="bottom"/>
    </xf>
    <xf borderId="0" fillId="0" fontId="2" numFmtId="0" xfId="0" applyFont="1"/>
    <xf borderId="0" fillId="10" fontId="7" numFmtId="49" xfId="0" applyAlignment="1" applyFill="1" applyFont="1" applyNumberFormat="1">
      <alignment vertical="bottom"/>
    </xf>
    <xf quotePrefix="1" borderId="0" fillId="0" fontId="7" numFmtId="49" xfId="0" applyAlignment="1" applyFont="1" applyNumberFormat="1">
      <alignment vertical="bottom"/>
    </xf>
    <xf borderId="0" fillId="9" fontId="38" numFmtId="49" xfId="0" applyAlignment="1" applyFont="1" applyNumberFormat="1">
      <alignment vertical="bottom"/>
    </xf>
    <xf borderId="0" fillId="9" fontId="39" numFmtId="49" xfId="0" applyAlignment="1" applyFont="1" applyNumberFormat="1">
      <alignment vertical="bottom"/>
    </xf>
    <xf borderId="0" fillId="0" fontId="40" numFmtId="49" xfId="0" applyAlignment="1" applyFont="1" applyNumberFormat="1">
      <alignment vertical="bottom"/>
    </xf>
    <xf borderId="0" fillId="9" fontId="41" numFmtId="49" xfId="0" applyAlignment="1" applyFont="1" applyNumberFormat="1">
      <alignment vertical="bottom"/>
    </xf>
    <xf borderId="0" fillId="9" fontId="42" numFmtId="49" xfId="0" applyAlignment="1" applyFont="1" applyNumberFormat="1">
      <alignment vertical="bottom"/>
    </xf>
    <xf borderId="0" fillId="11" fontId="43" numFmtId="49" xfId="0" applyAlignment="1" applyFill="1" applyFont="1" applyNumberFormat="1">
      <alignment vertical="bottom"/>
    </xf>
    <xf borderId="0" fillId="9" fontId="7" numFmtId="49" xfId="0" applyAlignment="1" applyFont="1" applyNumberFormat="1">
      <alignment vertical="bottom"/>
    </xf>
    <xf borderId="0" fillId="10" fontId="40" numFmtId="49" xfId="0" applyAlignment="1" applyFont="1" applyNumberFormat="1">
      <alignment vertical="bottom"/>
    </xf>
    <xf borderId="0" fillId="9" fontId="39" numFmtId="0" xfId="0" applyAlignment="1" applyFont="1">
      <alignment horizontal="right" vertical="bottom"/>
    </xf>
    <xf borderId="0" fillId="9" fontId="38" numFmtId="0" xfId="0" applyAlignment="1" applyFont="1">
      <alignment horizontal="right" vertical="bottom"/>
    </xf>
    <xf borderId="0" fillId="0" fontId="40" numFmtId="0" xfId="0" applyAlignment="1" applyFont="1">
      <alignment horizontal="right" vertical="bottom"/>
    </xf>
    <xf borderId="0" fillId="9" fontId="7" numFmtId="0" xfId="0" applyAlignment="1" applyFont="1">
      <alignment vertical="bottom"/>
    </xf>
    <xf quotePrefix="1" borderId="0" fillId="0" fontId="40" numFmtId="0" xfId="0" applyAlignment="1" applyFont="1">
      <alignment vertical="bottom"/>
    </xf>
    <xf quotePrefix="1" borderId="0" fillId="9" fontId="38" numFmtId="0" xfId="0" applyAlignment="1" applyFont="1">
      <alignment vertical="bottom"/>
    </xf>
    <xf borderId="0" fillId="10" fontId="38" numFmtId="0" xfId="0" applyAlignment="1" applyFont="1">
      <alignment horizontal="right" vertical="bottom"/>
    </xf>
    <xf borderId="0" fillId="0" fontId="40" numFmtId="0" xfId="0" applyAlignment="1" applyFont="1">
      <alignment vertical="bottom"/>
    </xf>
    <xf borderId="0" fillId="10" fontId="40" numFmtId="0" xfId="0" applyAlignment="1" applyFont="1">
      <alignment horizontal="right" vertical="bottom"/>
    </xf>
    <xf borderId="0" fillId="10" fontId="38" numFmtId="0" xfId="0" applyAlignment="1" applyFont="1">
      <alignment vertical="bottom"/>
    </xf>
    <xf borderId="0" fillId="9" fontId="38" numFmtId="0" xfId="0" applyAlignment="1" applyFont="1">
      <alignment vertical="bottom"/>
    </xf>
    <xf borderId="0" fillId="0" fontId="40" numFmtId="164" xfId="0" applyAlignment="1" applyFont="1" applyNumberFormat="1">
      <alignment horizontal="right" vertical="bottom"/>
    </xf>
    <xf borderId="0" fillId="9" fontId="44" numFmtId="0" xfId="0" applyAlignment="1" applyFont="1">
      <alignment horizontal="right" vertical="bottom"/>
    </xf>
    <xf borderId="0" fillId="9" fontId="7" numFmtId="0" xfId="0" applyAlignment="1" applyFont="1">
      <alignment horizontal="right" vertical="bottom"/>
    </xf>
    <xf borderId="0" fillId="10" fontId="7" numFmtId="0" xfId="0" applyAlignment="1" applyFont="1">
      <alignment vertical="bottom"/>
    </xf>
    <xf quotePrefix="1" borderId="0" fillId="9" fontId="7" numFmtId="0" xfId="0" applyAlignment="1" applyFont="1">
      <alignment vertical="bottom"/>
    </xf>
    <xf borderId="0" fillId="1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45" numFmtId="0" xfId="0" applyAlignment="1" applyFont="1">
      <alignment horizontal="right" vertical="bottom"/>
    </xf>
    <xf borderId="0" fillId="9" fontId="46" numFmtId="0" xfId="0" applyAlignment="1" applyFont="1">
      <alignment horizontal="right" vertical="bottom"/>
    </xf>
    <xf borderId="0" fillId="0" fontId="47" numFmtId="0" xfId="0" applyAlignment="1" applyFont="1">
      <alignment horizontal="center" vertical="bottom"/>
    </xf>
    <xf borderId="0" fillId="0" fontId="47" numFmtId="0" xfId="0" applyAlignment="1" applyFont="1">
      <alignment horizontal="center" readingOrder="0" vertical="bottom"/>
    </xf>
    <xf borderId="0" fillId="0" fontId="47" numFmtId="3" xfId="0" applyAlignment="1" applyFont="1" applyNumberFormat="1">
      <alignment horizontal="center" readingOrder="0" vertical="bottom"/>
    </xf>
    <xf borderId="0" fillId="0" fontId="48" numFmtId="0" xfId="0" applyFont="1"/>
    <xf borderId="0" fillId="0" fontId="48" numFmtId="0" xfId="0" applyAlignment="1" applyFont="1">
      <alignment readingOrder="0"/>
    </xf>
    <xf borderId="0" fillId="0" fontId="48" numFmtId="9" xfId="0" applyAlignment="1" applyFont="1" applyNumberFormat="1">
      <alignment readingOrder="0"/>
    </xf>
    <xf borderId="0" fillId="0" fontId="48" numFmtId="10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mazon.co.jp/dp/B01GW02ZSQ?tag=webspire_new-22&amp;linkCode=osi&amp;th=1&amp;psc=1" TargetMode="External"/><Relationship Id="rId194" Type="http://schemas.openxmlformats.org/officeDocument/2006/relationships/hyperlink" Target="https://www.uniqlo.com/jp/ja/products/E474767-000/00?colorDisplayCode=00&amp;sizeDisplayCode=120" TargetMode="External"/><Relationship Id="rId193" Type="http://schemas.openxmlformats.org/officeDocument/2006/relationships/hyperlink" Target="https://www.uniqlo.com/jp/ja/products/E474768-000/00?colorDisplayCode=50&amp;sizeDisplayCode=120" TargetMode="External"/><Relationship Id="rId192" Type="http://schemas.openxmlformats.org/officeDocument/2006/relationships/hyperlink" Target="https://www.amazon.co.jp/dp/B00005UD3T?tag=webspire_new-22&amp;linkCode=osi&amp;th=1&amp;psc=1" TargetMode="External"/><Relationship Id="rId191" Type="http://schemas.openxmlformats.org/officeDocument/2006/relationships/hyperlink" Target="https://www.amazon.co.jp/dp/B0GF1ZKQ6H?tag=webspire_new-22&amp;linkCode=osi&amp;th=1&amp;psc=1" TargetMode="External"/><Relationship Id="rId187" Type="http://schemas.openxmlformats.org/officeDocument/2006/relationships/hyperlink" Target="https://www.muji.com/jp/ja/store/cmdty/detail/4548076418733" TargetMode="External"/><Relationship Id="rId186" Type="http://schemas.openxmlformats.org/officeDocument/2006/relationships/hyperlink" Target="https://www.muji.com/jp/ja/store/cmdty/detail/4548076418740" TargetMode="External"/><Relationship Id="rId185" Type="http://schemas.openxmlformats.org/officeDocument/2006/relationships/hyperlink" Target="https://www.muji.com/jp/ja/store/cmdty/detail/4548076418757" TargetMode="External"/><Relationship Id="rId184" Type="http://schemas.openxmlformats.org/officeDocument/2006/relationships/hyperlink" Target="https://www.muji.com/jp/ja/store/cmdty/detail/4548076418764" TargetMode="External"/><Relationship Id="rId189" Type="http://schemas.openxmlformats.org/officeDocument/2006/relationships/hyperlink" Target="https://www.amazon.co.jp/dp/B09X5T9C98?tag=webspire_new-22&amp;linkCode=osi&amp;th=1&amp;psc=1" TargetMode="External"/><Relationship Id="rId188" Type="http://schemas.openxmlformats.org/officeDocument/2006/relationships/hyperlink" Target="https://www.amazon.co.jp/%E3%83%87%E3%83%97%E3%82%B9-%E3%82%B5%E3%82%AB%E3%83%9E%E3%82%BF%E3%82%B7%E3%83%A3%E3%83%83%E3%83%89-deps-SAKAMATA-%E3%82%A6%E3%82%A9%E3%83%BC%E3%82%BF%E3%83%BC%E3%83%A1%E3%83%AD%E3%83%B3%E3%83%97%E3%83%AD%E3%83%96%E3%83%AB%E3%83%BC/dp/B09C2C892S/ref=sr_1_6?crid=Z5QQ0581W93T&amp;dib=eyJ2IjoiMSJ9.tlnjSq41PdkFfGAPDq-5KvSATowk4yZwzwVJzxurLctubi2JZN7Ewjd-k39SsXIzzPNsw8MAanidbzZiuOewxUvQL1bXO5T-Eni9QEzxTnquFXManI3A-CWHwmAudF0qlGIXZGMX-kELED1NLfvLGHOszesF2jt1VRWMyLpbSxsnTgdZv7L88-WqW57jLnEPEby8Dpbx_uy7jo96S2EH2ZmLFp5ArFlL8KvxDsiZt-Av8oftdultB68grHi85-qULNpyT47tWPH2qzCx7OKM4WLw-PFnk_spdxeY3CSWKeU.ycyBuwxSZMRVQg52vTL4uVKKVPTTW7fmJdgsjQ8pRQI&amp;dib_tag=se&amp;keywords=deps+sakamata+shad&amp;qid=1770002512&amp;sprefix=deps%2Caps%2C355&amp;sr=8-6" TargetMode="External"/><Relationship Id="rId183" Type="http://schemas.openxmlformats.org/officeDocument/2006/relationships/hyperlink" Target="https://www.muji.com/jp/ja/store/cmdty/detail/4548076418771" TargetMode="External"/><Relationship Id="rId182" Type="http://schemas.openxmlformats.org/officeDocument/2006/relationships/hyperlink" Target="https://www.muji.com/jp/ja/store/cmdty/detail/4548076418863" TargetMode="External"/><Relationship Id="rId181" Type="http://schemas.openxmlformats.org/officeDocument/2006/relationships/hyperlink" Target="https://www.muji.com/jp/ja/store/cmdty/detail/4548076418894" TargetMode="External"/><Relationship Id="rId180" Type="http://schemas.openxmlformats.org/officeDocument/2006/relationships/hyperlink" Target="https://www.muji.com/jp/ja/store/cmdty/detail/4548076418948" TargetMode="External"/><Relationship Id="rId176" Type="http://schemas.openxmlformats.org/officeDocument/2006/relationships/hyperlink" Target="https://www.amazon.co.jp/%E3%82%BF%E3%82%AB%E3%83%A9%E3%83%88%E3%83%9F%E3%83%BC-%E3%83%AA%E3%82%AB%E3%81%A1%E3%82%83%E3%82%93-LD-16-VERY%E3%82%B3%E3%83%A9%E3%83%9C-%E3%82%B3%E3%83%BC%E3%83%87%E3%82%A3%E3%83%8D%E3%83%BC%E3%83%88%E3%83%AA%E3%82%AB%E3%81%A1%E3%82%83%E3%82%93/dp/B0CJTKRK3H?ref_=pd_ci_mcx_mh_pe_im_d1_hxwPPE_sspa_dk_det_cao_p_35_1&amp;pd_rd_i=B0CJTKRK3H&amp;pd_rd_w=hQPPx&amp;content-id=amzn1.sym.e5d36e95-56e6-4920-8c3f-a72cb8ed51ff&amp;pf_rd_p=e5d36e95-56e6-4920-8c3f-a72cb8ed51ff&amp;pf_rd_r=V1Y68S4VJAZVRMZJ4B4J&amp;pd_rd_wg=Zr7a7&amp;pd_rd_r=a962fd18-266f-4841-8c0f-7c7e25d02fd5" TargetMode="External"/><Relationship Id="rId297" Type="http://schemas.openxmlformats.org/officeDocument/2006/relationships/hyperlink" Target="https://www.ebay.com/itm/277740507205?nordt=true&amp;orig_cvip=true&amp;rt=nc" TargetMode="External"/><Relationship Id="rId175" Type="http://schemas.openxmlformats.org/officeDocument/2006/relationships/hyperlink" Target="https://www.muji.com/jp/ja/store/cmdty/detail/4548076418801?noScroll=true" TargetMode="External"/><Relationship Id="rId296" Type="http://schemas.openxmlformats.org/officeDocument/2006/relationships/hyperlink" Target="https://www.amazon.co.jp/dp/B0G4VQ3TQQ?tag=webspire_new-22&amp;linkCode=osi&amp;th=1&amp;psc=1" TargetMode="External"/><Relationship Id="rId174" Type="http://schemas.openxmlformats.org/officeDocument/2006/relationships/hyperlink" Target="https://www.1101.com/store/techo/en/2026/pc/detail_cover/wb26_kitagishi/" TargetMode="External"/><Relationship Id="rId295" Type="http://schemas.openxmlformats.org/officeDocument/2006/relationships/hyperlink" Target="https://www.amazon.co.jp/%E3%80%90Amazon-co-jp%E9%99%90%E5%AE%9A%E3%80%91%E3%83%A9%E3%83%83%E3%82%AF-%E3%82%AA%E3%82%A2%E3%83%BB%E3%82%B5%E3%83%A0%E3%82%B7%E3%83%B3%E3%82%B0-%E3%83%92%E3%83%A9%E3%83%AA%E3%83%BC%E3%83%BB%E3%83%80%E3%83%95-%E3%83%A1%E3%82%AC%E3%82%B8%E3%83%A3%E3%82%B1%E4%BB%98/dp/B0G4VQ3TQQ/ref=sr_1_2?crid=ZZOOECVCN1YB&amp;dib=eyJ2IjoiMSJ9.W4ePuOhKYyFW2jc8iWwo9WD-lzREExlhIVEOtKdKdbkhqvie8efmFxuLl7zMXXfBCw3h66OlpWo2c5bYX2zwZdd2RFDblqv9FjL0sHFvP28tWIsWl7szUp-j0s2EcCH-5E-nS83m4xYTpGkg4b_vPtLXUErG5U1MNiSV-fYEbe0_smIQNjSfXQX26z7okldSUVAVLLIXq_MxfQuNZaKUgoCiMtXoO0Ey0XEfWZezN3yiqQ2_x189szUcNba9lWEsfV5m5I-b39670XoNtpPHkOt1jNv_909r8mg-oPCIZi0.GLMDw2KMPXkVWdrpaS2U2YwpL5iJcHuzn8Vv_7GVarc&amp;dib_tag=se&amp;keywords=hilary+duff+cd&amp;qid=1771892344&amp;sprefix=hilary+duff+c%27d%2Caps%2C235&amp;sr=8-2" TargetMode="External"/><Relationship Id="rId173" Type="http://schemas.openxmlformats.org/officeDocument/2006/relationships/hyperlink" Target="https://www.1101.com/store/techo/en/2026/pc/detail_toolstoys/tt_pochi_unsodo/" TargetMode="External"/><Relationship Id="rId294" Type="http://schemas.openxmlformats.org/officeDocument/2006/relationships/hyperlink" Target="https://www.amazon.co.jp/dp/B00C3BRCR8?tag=webspire_new-22&amp;linkCode=osi&amp;th=1&amp;psc=1" TargetMode="External"/><Relationship Id="rId179" Type="http://schemas.openxmlformats.org/officeDocument/2006/relationships/hyperlink" Target="https://www.muji.com/jp/ja/store/cmdty/detail/4548076418955" TargetMode="External"/><Relationship Id="rId178" Type="http://schemas.openxmlformats.org/officeDocument/2006/relationships/hyperlink" Target="https://www.muji.com/jp/ja/store/cmdty/detail/4548076418962" TargetMode="External"/><Relationship Id="rId299" Type="http://schemas.openxmlformats.org/officeDocument/2006/relationships/hyperlink" Target="https://www.ebay.com/itm/358230121194?nordt=true&amp;orig_cvip=true&amp;rt=nc" TargetMode="External"/><Relationship Id="rId177" Type="http://schemas.openxmlformats.org/officeDocument/2006/relationships/hyperlink" Target="https://www.1101.com/store/techo/en/magazine/contents/y26_kitagishi/2rkyvmhlr.html" TargetMode="External"/><Relationship Id="rId298" Type="http://schemas.openxmlformats.org/officeDocument/2006/relationships/hyperlink" Target="https://www.amazon.co.jp/dp/B0GCDQZWNQ?tag=webspire_new-22&amp;linkCode=osi&amp;th=1&amp;psc=1" TargetMode="External"/><Relationship Id="rId198" Type="http://schemas.openxmlformats.org/officeDocument/2006/relationships/hyperlink" Target="https://www.uniqlo.com/jp/ja/products/E483352-000/00?colorDisplayCode=40&amp;sizeDisplayCode=120" TargetMode="External"/><Relationship Id="rId197" Type="http://schemas.openxmlformats.org/officeDocument/2006/relationships/hyperlink" Target="https://www.uniqlo.com/jp/ja/products/E479900-000/00?colorDisplayCode=41&amp;sizeDisplayCode=120" TargetMode="External"/><Relationship Id="rId196" Type="http://schemas.openxmlformats.org/officeDocument/2006/relationships/hyperlink" Target="https://www.uniqlo.com/jp/ja/products/E474624-000/00?colorDisplayCode=00&amp;sizeDisplayCode=130" TargetMode="External"/><Relationship Id="rId195" Type="http://schemas.openxmlformats.org/officeDocument/2006/relationships/hyperlink" Target="https://www.uniqlo.com/jp/ja/products/E474770-000/00?colorDisplayCode=07&amp;sizeDisplayCode=120" TargetMode="External"/><Relationship Id="rId199" Type="http://schemas.openxmlformats.org/officeDocument/2006/relationships/hyperlink" Target="https://www.uniqlo.com/jp/ja/products/E483350-000/00?colorDisplayCode=11&amp;sizeDisplayCode=120" TargetMode="External"/><Relationship Id="rId150" Type="http://schemas.openxmlformats.org/officeDocument/2006/relationships/hyperlink" Target="https://amzn.asia/d/9NP37HN" TargetMode="External"/><Relationship Id="rId271" Type="http://schemas.openxmlformats.org/officeDocument/2006/relationships/hyperlink" Target="https://www.amazon.co.jp/%E3%80%90%E5%90%8D%E5%85%A5%E3%82%8C%E3%80%91%E9%87%91%E6%96%87%E5%AD%97%E3%82%B8%E3%82%A7%E3%83%83%E3%83%88%E3%82%B9%E3%83%88%E3%83%AA%E3%83%BC%E3%83%A00-5mm-4%EF%BC%861-5%E6%A9%9F%E8%83%BD%E3%83%9A%E3%83%B3-MSXE5-100005-%E3%83%86%E3%82%A3%E3%83%BC%E3%83%AB%E3%83%96%E3%83%AB%E3%83%BC/dp/B01MRZYYF0/ref=zg_bs_g_2017191051_d_sccl_4/357-9393567-9939435?th=1" TargetMode="External"/><Relationship Id="rId392" Type="http://schemas.openxmlformats.org/officeDocument/2006/relationships/hyperlink" Target="https://www.amazon.co.jp/dp/B00UI9CFKG?tag=webspire_new-22&amp;linkCode=osi&amp;th=1&amp;psc=1" TargetMode="External"/><Relationship Id="rId270" Type="http://schemas.openxmlformats.org/officeDocument/2006/relationships/hyperlink" Target="https://www.amazon.co.jp/%E3%80%90%E5%90%8D%E5%85%A5%E3%82%8C%E3%80%91%E9%87%91%E6%96%87%E5%AD%97%E3%82%B8%E3%82%A7%E3%83%83%E3%83%88%E3%82%B9%E3%83%88%E3%83%AA%E3%83%BC%E3%83%A00-5mm-4%EF%BC%861-5%E6%A9%9F%E8%83%BD%E3%83%9A%E3%83%B3-MSXE5-100005-%E3%83%86%E3%82%A3%E3%83%BC%E3%83%AB%E3%83%96%E3%83%AB%E3%83%BC/dp/B0GCRTVSDL/ref=zg_bs_g_2017191051_d_sccl_4/357-9393567-9939435?th=1" TargetMode="External"/><Relationship Id="rId391" Type="http://schemas.openxmlformats.org/officeDocument/2006/relationships/hyperlink" Target="https://www.ebay.com/itm/144952366525?nordt=true&amp;orig_cvip=true&amp;rt=nc" TargetMode="External"/><Relationship Id="rId390" Type="http://schemas.openxmlformats.org/officeDocument/2006/relationships/hyperlink" Target="https://www.amazon.co.jp/dp/B08LNN5825?tag=webspire_new-22&amp;linkCode=osi&amp;th=1&amp;psc=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mazon.co.jp/PILOT-%E3%83%9C%E3%83%BC%E3%83%AB%E3%83%9A%E3%83%B3-%E3%82%B8%E3%83%A5%E3%83%BC%E3%82%B9%E3%83%97%E3%83%A9%E3%82%B93%E8%89%B2%E3%82%BB%E3%83%83%E3%83%88-0-4mm-LJL143CA/dp/B0FW4M3LH7/ref=sr_1_9?crid=3NWFUPINP4YPW&amp;dib=eyJ2IjoiMSJ9.VoEIf6XsPD72Nnsq7obLDQNFAPoKxm4HuckZ4JaCj4hrQ3AllLYOmNO1gDAC2gMX5ZSuyQGaPOAEsyfzCt7MTBgedsxRSQVj7F3bURQv7g8c8tQHHxUEbSjdHLeeQigHKetmvJk2KpWQOIjCG6s_t95rlO1w2uJI646uZHkCZyA0ojXqT4QFQXnnkpBXb1Zg73If2Hnmp9r_WE1N6s5gW-Xg2Z3XR1AsDwDro3TVsGGcwJo2CPfkyGQFpSSC0EZajSj7FF7jPxheONdsqC3JxExu9U5fga9QDSNFv2NtbVY.nzwlsZPC1vN2AGRLcmx8r_1CD4JyD5CVIorNudhCbdY&amp;dib_tag=se&amp;keywords=pilot%2Bjuice%2B&amp;qid=1768525949&amp;sprefix=pilot%2Bjuice%2B%2Caps%2C293&amp;sr=8-9&amp;th=1" TargetMode="External"/><Relationship Id="rId3" Type="http://schemas.openxmlformats.org/officeDocument/2006/relationships/hyperlink" Target="https://www.amazon.co.jp/%E3%83%91%E3%82%A4%E3%83%AD%E3%83%83%E3%83%88-4%E8%89%B2%E3%83%9C%E3%83%BC%E3%83%AB%E3%83%9A%E3%83%B3-%E3%83%95%E3%83%AA%E3%82%AF%E3%82%B7%E3%83%A7%E3%83%B3%E3%83%9C%E3%83%BC%E3%83%AB4-LKFB-3SEF-BN-0-5mm/dp/B00IMDNQ3A?ref_=ast_sto_dp&amp;th=1" TargetMode="External"/><Relationship Id="rId149" Type="http://schemas.openxmlformats.org/officeDocument/2006/relationships/hyperlink" Target="https://amzn.asia/d/fW3k33T" TargetMode="External"/><Relationship Id="rId4" Type="http://schemas.openxmlformats.org/officeDocument/2006/relationships/hyperlink" Target="https://www.amazon.co.jp/%E3%83%A6%E3%83%BC%E3%82%A8%E3%83%A0%E5%B7%A5%E6%A5%AD-403-50-%E3%82%B7%E3%83%AB%E3%82%AD%E3%83%BC-%E3%82%AB%E3%82%BF%E3%83%8A%E3%83%9C%E3%83%BC%E3%82%A4-500mm/dp/B002GKB5PQ/ref=zg_bs_g_2039536051_d_sccl_12/357-9393567-9939435?psc=1" TargetMode="External"/><Relationship Id="rId148" Type="http://schemas.openxmlformats.org/officeDocument/2006/relationships/hyperlink" Target="https://amzn.asia/d/2bFWnQL" TargetMode="External"/><Relationship Id="rId269" Type="http://schemas.openxmlformats.org/officeDocument/2006/relationships/hyperlink" Target="https://www.amazon.co.jp/dp/B0DMVVH4WZ?tag=webspire_new-22&amp;linkCode=osi&amp;th=1&amp;psc=1" TargetMode="External"/><Relationship Id="rId9" Type="http://schemas.openxmlformats.org/officeDocument/2006/relationships/hyperlink" Target="https://www.amazon.co.jp/%E3%82%BC%E3%83%96%E3%83%A9-%E3%82%B8%E3%82%A7%E3%83%AB%E3%83%9C%E3%83%BC%E3%83%AB%E3%83%9A%E3%83%B3-%E3%82%B5%E3%83%A9%E3%82%B5%E3%82%AF%E3%83%AA%E3%83%83%E3%83%97-0-5mm-JJ29-KF-5C/dp/B0DYJQ5GLH/ref=pd_ci_mcx_pspc_dp_d_2_t_3?pd_rd_w=9PcBC&amp;content-id=amzn1.sym.8f1fe2a7-d128-4328-bcac-c2e341dfd86d%3Aamzn1.symc.8c21723d-cd1d-422f-9cc5-7a61ace3c767&amp;pf_rd_p=8f1fe2a7-d128-4328-bcac-c2e341dfd86d&amp;pf_rd_r=WEZ55RMBKF000HZ0BPD8&amp;pd_rd_wg=JkCxH&amp;pd_rd_r=b041411b-b595-4ba2-9092-601825c9e6ca&amp;pd_rd_i=B0DYJQ5GLH" TargetMode="External"/><Relationship Id="rId143" Type="http://schemas.openxmlformats.org/officeDocument/2006/relationships/hyperlink" Target="https://amzn.asia/d/7H1vwd1" TargetMode="External"/><Relationship Id="rId264" Type="http://schemas.openxmlformats.org/officeDocument/2006/relationships/hyperlink" Target="https://www.ebay.com/itm/227090709865?nordt=true&amp;orig_cvip=true&amp;rt=nc" TargetMode="External"/><Relationship Id="rId385" Type="http://schemas.openxmlformats.org/officeDocument/2006/relationships/hyperlink" Target="https://www.ebay.com/itm/134966141486?nordt=true&amp;orig_cvip=true&amp;rt=nc" TargetMode="External"/><Relationship Id="rId142" Type="http://schemas.openxmlformats.org/officeDocument/2006/relationships/hyperlink" Target="https://amzn.asia/d/73y9tCd" TargetMode="External"/><Relationship Id="rId263" Type="http://schemas.openxmlformats.org/officeDocument/2006/relationships/hyperlink" Target="https://www.amazon.co.jp/dp/B0DW8XNF97?tag=webspire_new-22&amp;linkCode=osi&amp;th=1&amp;psc=1" TargetMode="External"/><Relationship Id="rId384" Type="http://schemas.openxmlformats.org/officeDocument/2006/relationships/hyperlink" Target="https://www.amazon.co.jp/dp/B00CBM24ZY?tag=webspire_new-22&amp;linkCode=osi&amp;th=1&amp;psc=1" TargetMode="External"/><Relationship Id="rId141" Type="http://schemas.openxmlformats.org/officeDocument/2006/relationships/hyperlink" Target="https://amzn.asia/d/aOI24gX" TargetMode="External"/><Relationship Id="rId262" Type="http://schemas.openxmlformats.org/officeDocument/2006/relationships/hyperlink" Target="https://www.ebay.com/itm/227061658930?nordt=true&amp;orig_cvip=true&amp;rt=nc" TargetMode="External"/><Relationship Id="rId383" Type="http://schemas.openxmlformats.org/officeDocument/2006/relationships/hyperlink" Target="https://www.ebay.com/itm/134468337364?nordt=true&amp;orig_cvip=true&amp;rt=nc" TargetMode="External"/><Relationship Id="rId140" Type="http://schemas.openxmlformats.org/officeDocument/2006/relationships/hyperlink" Target="https://amzn.asia/d/d6ext0a" TargetMode="External"/><Relationship Id="rId261" Type="http://schemas.openxmlformats.org/officeDocument/2006/relationships/hyperlink" Target="https://www.amazon.co.jp/dp/B0F4D69NN4?tag=webspire_new-22&amp;linkCode=osi&amp;th=1&amp;psc=1" TargetMode="External"/><Relationship Id="rId382" Type="http://schemas.openxmlformats.org/officeDocument/2006/relationships/hyperlink" Target="https://www.amazon.co.jp/dp/B00CBM24RC?tag=webspire_new-22&amp;linkCode=osi&amp;th=1&amp;psc=1" TargetMode="External"/><Relationship Id="rId5" Type="http://schemas.openxmlformats.org/officeDocument/2006/relationships/hyperlink" Target="https://www.amazon.co.jp/PILOT-%E3%83%9C%E3%83%BC%E3%83%AB%E3%83%9A%E3%83%B3-%E3%83%95%E3%83%AA%E3%82%AF%E3%82%B7%E3%83%A7%E3%83%B3%E3%83%9C%E3%83%BC%E3%83%AB%E3%83%8E%E3%83%83%E3%82%AF%E3%82%BE%E3%83%BC%E3%83%B3-%E3%82%A4%E3%83%B3%E3%82%B9%E3%83%94%E3%83%AC%E3%83%BC%E3%82%B7%E3%83%A7%E3%83%B3%E3%83%AC%E3%83%83%E3%83%89-LFBKZ3SEFIR/dp/B0BMZT54C5?ref_=ast_sto_dp&amp;th=1" TargetMode="External"/><Relationship Id="rId147" Type="http://schemas.openxmlformats.org/officeDocument/2006/relationships/hyperlink" Target="https://amzn.asia/d/7huZy99" TargetMode="External"/><Relationship Id="rId268" Type="http://schemas.openxmlformats.org/officeDocument/2006/relationships/hyperlink" Target="https://www.amazon.co.jp/%E3%83%8F%E3%83%B3%E3%82%B3%E3%83%A4%E3%82%B9%E3%83%88%E3%82%A2-%E3%83%9C%E3%83%BC%E3%83%AB%E3%83%9A%E3%83%B3-%E3%82%B8%E3%82%A7%E3%83%83%E3%83%88%E3%82%B9%E3%83%88%E3%83%AA%E3%83%BC%E3%83%A04-0-5mm-%E3%83%8D%E3%82%A4%E3%83%93%E3%83%BC/dp/B0DQWY3LMV/ref=zg_bs_g_2017191051_d_sccl_3/357-9393567-9939435?th=1" TargetMode="External"/><Relationship Id="rId389" Type="http://schemas.openxmlformats.org/officeDocument/2006/relationships/hyperlink" Target="https://www.ebay.com/itm/144043215781?nordt=true&amp;orig_cvip=true&amp;rt=nc" TargetMode="External"/><Relationship Id="rId6" Type="http://schemas.openxmlformats.org/officeDocument/2006/relationships/hyperlink" Target="https://www.amazon.co.jp/%E3%82%BC%E3%83%96%E3%83%A9-%E3%82%B8%E3%82%A7%E3%83%AB%E3%83%9C%E3%83%BC%E3%83%AB%E3%83%9A%E3%83%B3-%E3%82%B5%E3%83%A9%E3%82%B5%E3%82%AF%E3%83%AA%E3%83%83%E3%83%97-%E3%83%9E%E3%82%A4%E3%83%A1%E3%83%AD%E3%83%87%E3%82%A3%EF%BC%86%E3%82%AF%E3%83%AD%E3%83%9F-JJ15-MMKU-5C/dp/B0F2D4S99Z/ref=sr_1_10?crid=2W1ERF33UNGBZ&amp;dib=eyJ2IjoiMSJ9.xdOQlEeBBWGFNZTSZSp1MHFgv96bUH47qxV9_U74j1A4gie8FjQlRjC6lOGbAPRoY6Mu_pXvFuN20K4E6rIGcDsFo18KNTDfKay5fAsdqtZlDnn9mU44ITQVpyKAZpA-8rZmQ_fOMMqLlyMSobRAg57lQeQjmRX6CyXRpFgu8-UrsZHsNK1ktnSZcDm_e1FQd5Q9nuvip_hQdo84M3IdgJWNrG63S63IYaAYplpKbkktql66tDBbNE__P6Vtfefomej0LYpzsvWPaPGI7KqBSNi_fidsl48U_Our9bp-v-o.RGyKS_UYKkRbuxa6axqsrlRcvU7xaNOJi8s2KNpFcek&amp;dib_tag=se&amp;keywords=zebra&amp;qid=1768526158&amp;sprefix=zebra%2Caps%2C309&amp;sr=8-10" TargetMode="External"/><Relationship Id="rId146" Type="http://schemas.openxmlformats.org/officeDocument/2006/relationships/hyperlink" Target="https://amzn.asia/d/gCJGHEP" TargetMode="External"/><Relationship Id="rId267" Type="http://schemas.openxmlformats.org/officeDocument/2006/relationships/hyperlink" Target="https://www.amazon.co.jp/dp/B0G2VFMV72?tag=webspire_new-22&amp;linkCode=osi&amp;th=1&amp;psc=1" TargetMode="External"/><Relationship Id="rId388" Type="http://schemas.openxmlformats.org/officeDocument/2006/relationships/hyperlink" Target="https://www.amazon.co.jp/dp/B08W5TJTRV?tag=webspire_new-22&amp;linkCode=osi&amp;th=1&amp;psc=1" TargetMode="External"/><Relationship Id="rId7" Type="http://schemas.openxmlformats.org/officeDocument/2006/relationships/hyperlink" Target="https://www.amazon.co.jp/dp/B0FKTCF191/ref=sspa_dk_detail_1?pd_rd_i=B0FKTCF191&amp;pd_rd_w=8EnnM&amp;content-id=amzn1.sym.f293be60-50b7-49bc-95e8-931faf86ed1e&amp;pf_rd_p=f293be60-50b7-49bc-95e8-931faf86ed1e&amp;pf_rd_r=WEZ55RMBKF000HZ0BPD8&amp;pd_rd_wg=JkCxH&amp;pd_rd_r=b041411b-b595-4ba2-9092-601825c9e6ca&amp;sp_csd=d2lkZ2V0TmFtZT1zcF9kZXRhaWw&amp;th=1" TargetMode="External"/><Relationship Id="rId145" Type="http://schemas.openxmlformats.org/officeDocument/2006/relationships/hyperlink" Target="https://amzn.asia/d/9DNRHmP" TargetMode="External"/><Relationship Id="rId266" Type="http://schemas.openxmlformats.org/officeDocument/2006/relationships/hyperlink" Target="https://www.ebay.com/itm/317796423185?nordt=true&amp;orig_cvip=true&amp;rt=nc" TargetMode="External"/><Relationship Id="rId387" Type="http://schemas.openxmlformats.org/officeDocument/2006/relationships/hyperlink" Target="https://www.ebay.com/itm/143014037568?nordt=true&amp;orig_cvip=true&amp;rt=nc" TargetMode="External"/><Relationship Id="rId8" Type="http://schemas.openxmlformats.org/officeDocument/2006/relationships/hyperlink" Target="https://www.amazon.co.jp/dp/B0FKTF2XVZ/ref=sspa_dk_detail_2?pf_rd_p=f293be60-50b7-49bc-95e8-931faf86ed1e&amp;pf_rd_r=WEZ55RMBKF000HZ0BPD8&amp;pd_rd_wg=JkCxH&amp;pd_rd_w=8EnnM&amp;content-id=amzn1.sym.f293be60-50b7-49bc-95e8-931faf86ed1e&amp;pd_rd_r=b041411b-b595-4ba2-9092-601825c9e6ca&amp;sp_csd=d2lkZ2V0TmFtZT1zcF9kZXRhaWw&amp;th=1" TargetMode="External"/><Relationship Id="rId144" Type="http://schemas.openxmlformats.org/officeDocument/2006/relationships/hyperlink" Target="https://amzn.asia/d/3Qb83l8" TargetMode="External"/><Relationship Id="rId265" Type="http://schemas.openxmlformats.org/officeDocument/2006/relationships/hyperlink" Target="https://www.amazon.co.jp/dp/B0FVNVPP1F?tag=webspire_new-22&amp;linkCode=osi&amp;th=1&amp;psc=1" TargetMode="External"/><Relationship Id="rId386" Type="http://schemas.openxmlformats.org/officeDocument/2006/relationships/hyperlink" Target="https://www.amazon.co.jp/dp/B00CCTU9EY?tag=webspire_new-22&amp;linkCode=osi&amp;th=1&amp;psc=1" TargetMode="External"/><Relationship Id="rId260" Type="http://schemas.openxmlformats.org/officeDocument/2006/relationships/hyperlink" Target="https://www.ebay.com/itm/117013734607?nordt=true&amp;orig_cvip=true&amp;rt=nc" TargetMode="External"/><Relationship Id="rId381" Type="http://schemas.openxmlformats.org/officeDocument/2006/relationships/hyperlink" Target="https://www.ebay.com/itm/134455681282?nordt=true&amp;orig_cvip=true&amp;rt=nc" TargetMode="External"/><Relationship Id="rId380" Type="http://schemas.openxmlformats.org/officeDocument/2006/relationships/hyperlink" Target="https://www.amazon.co.jp/dp/B09KYW27L5?tag=webspire_new-22&amp;linkCode=osi&amp;th=1&amp;psc=1" TargetMode="External"/><Relationship Id="rId139" Type="http://schemas.openxmlformats.org/officeDocument/2006/relationships/hyperlink" Target="https://amzn.asia/d/iSKTGNg" TargetMode="External"/><Relationship Id="rId138" Type="http://schemas.openxmlformats.org/officeDocument/2006/relationships/hyperlink" Target="https://amzn.asia/d/6S08Y6l" TargetMode="External"/><Relationship Id="rId259" Type="http://schemas.openxmlformats.org/officeDocument/2006/relationships/hyperlink" Target="https://www.amazon.co.jp/dp/B0GF15D7ZX?tag=webspire_new-22&amp;linkCode=osi&amp;th=1&amp;psc=1" TargetMode="External"/><Relationship Id="rId137" Type="http://schemas.openxmlformats.org/officeDocument/2006/relationships/hyperlink" Target="https://amzn.asia/d/iFBLACn" TargetMode="External"/><Relationship Id="rId258" Type="http://schemas.openxmlformats.org/officeDocument/2006/relationships/hyperlink" Target="https://www.ebay.com/itm/364871847497?nordt=true&amp;orig_cvip=true&amp;rt=nc" TargetMode="External"/><Relationship Id="rId379" Type="http://schemas.openxmlformats.org/officeDocument/2006/relationships/hyperlink" Target="https://www.ebay.com/itm/133979272780?nordt=true&amp;orig_cvip=true&amp;rt=nc" TargetMode="External"/><Relationship Id="rId132" Type="http://schemas.openxmlformats.org/officeDocument/2006/relationships/hyperlink" Target="https://amzn.asia/d/5tEaIsV" TargetMode="External"/><Relationship Id="rId253" Type="http://schemas.openxmlformats.org/officeDocument/2006/relationships/hyperlink" Target="https://item.rakuten.co.jp/joshin-cddvd/4547366790788/?scid=af_pc_etc&amp;sc2id=af_106_0_10002231&amp;af_tr_src=i2i_bh__g5_g4&amp;af_tct=t_0_top" TargetMode="External"/><Relationship Id="rId374" Type="http://schemas.openxmlformats.org/officeDocument/2006/relationships/hyperlink" Target="https://www.amazon.co.jp/dp/B00CCTU7U0?tag=webspire_new-22&amp;linkCode=osi&amp;th=1&amp;psc=1" TargetMode="External"/><Relationship Id="rId131" Type="http://schemas.openxmlformats.org/officeDocument/2006/relationships/hyperlink" Target="https://amzn.asia/d/dtxOrzf" TargetMode="External"/><Relationship Id="rId252" Type="http://schemas.openxmlformats.org/officeDocument/2006/relationships/hyperlink" Target="https://www.amazon.co.jp/%E4%B8%89%E8%8F%B1%E9%89%9B%E7%AD%86-%E5%A4%9A%E6%A9%9F%E8%83%BD%E3%83%9A%E3%83%B3-%E3%82%B8%E3%82%A7%E3%83%83%E3%83%88%E3%82%B9%E3%83%88%E3%83%AA%E3%83%BC%E3%83%A0-%E3%83%A9%E3%83%99%E3%83%B3%E3%83%80%E3%83%BC-MSXE510005-34/dp/B0G47QM1QQ/ref=zg_bs_g_2017191051_d_sccl_2/357-9393567-9939435?th=1" TargetMode="External"/><Relationship Id="rId373" Type="http://schemas.openxmlformats.org/officeDocument/2006/relationships/hyperlink" Target="https://www.ebay.com/itm/277752111799?nordt=true&amp;orig_cvip=true&amp;rt=nc" TargetMode="External"/><Relationship Id="rId130" Type="http://schemas.openxmlformats.org/officeDocument/2006/relationships/hyperlink" Target="https://amzn.asia/d/4bEkmNF" TargetMode="External"/><Relationship Id="rId251" Type="http://schemas.openxmlformats.org/officeDocument/2006/relationships/hyperlink" Target="https://www.amazon.co.jp/%E4%B8%89%E8%8F%B1%E9%89%9B%E7%AD%86-%E5%A4%9A%E6%A9%9F%E8%83%BD%E3%83%9A%E3%83%B3-%E3%82%B8%E3%82%A7%E3%83%83%E3%83%88%E3%82%B9%E3%83%88%E3%83%AA%E3%83%BC%E3%83%A0-%E3%83%A9%E3%82%A4%E3%83%88%E3%83%94%E3%83%B3%E3%82%AF-MSXE510005-51/dp/B005B6GOOO/ref=zg_bs_g_2017191051_d_sccl_1/357-9393567-9939435?th=1" TargetMode="External"/><Relationship Id="rId372" Type="http://schemas.openxmlformats.org/officeDocument/2006/relationships/hyperlink" Target="https://www.amazon.co.jp/dp/B0GGGJCP3C?tag=webspire_new-22&amp;linkCode=osi&amp;th=1&amp;psc=1" TargetMode="External"/><Relationship Id="rId250" Type="http://schemas.openxmlformats.org/officeDocument/2006/relationships/hyperlink" Target="https://www.ebay.com/itm/396459431598?nordt=true&amp;orig_cvip=true&amp;rt=nc" TargetMode="External"/><Relationship Id="rId371" Type="http://schemas.openxmlformats.org/officeDocument/2006/relationships/hyperlink" Target="https://www.ebay.com/itm/358265228326?nordt=true&amp;orig_cvip=true&amp;rt=nc" TargetMode="External"/><Relationship Id="rId136" Type="http://schemas.openxmlformats.org/officeDocument/2006/relationships/hyperlink" Target="https://amzn.asia/d/26SKSzG" TargetMode="External"/><Relationship Id="rId257" Type="http://schemas.openxmlformats.org/officeDocument/2006/relationships/hyperlink" Target="https://www.amazon.co.jp/dp/B00000ILJ9?tag=webspire_new-22&amp;linkCode=osi&amp;th=1&amp;psc=1" TargetMode="External"/><Relationship Id="rId378" Type="http://schemas.openxmlformats.org/officeDocument/2006/relationships/hyperlink" Target="https://www.amazon.co.jp/dp/B09JRDCCD4?tag=webspire_new-22&amp;linkCode=osi&amp;th=1&amp;psc=1" TargetMode="External"/><Relationship Id="rId135" Type="http://schemas.openxmlformats.org/officeDocument/2006/relationships/hyperlink" Target="https://amzn.asia/d/4W5UDRu" TargetMode="External"/><Relationship Id="rId256" Type="http://schemas.openxmlformats.org/officeDocument/2006/relationships/hyperlink" Target="https://www.ebay.com/itm/227126699758?nordt=true&amp;orig_cvip=true&amp;rt=nc" TargetMode="External"/><Relationship Id="rId377" Type="http://schemas.openxmlformats.org/officeDocument/2006/relationships/hyperlink" Target="https://www.ebay.com/itm/144957740733?nordt=true&amp;orig_cvip=true&amp;rt=nc" TargetMode="External"/><Relationship Id="rId134" Type="http://schemas.openxmlformats.org/officeDocument/2006/relationships/hyperlink" Target="https://amzn.asia/d/cAyI0YR" TargetMode="External"/><Relationship Id="rId255" Type="http://schemas.openxmlformats.org/officeDocument/2006/relationships/hyperlink" Target="https://www.amazon.co.jp/dp/B0DHXKLRVM?tag=webspire_new-22&amp;linkCode=osi&amp;th=1&amp;psc=1" TargetMode="External"/><Relationship Id="rId376" Type="http://schemas.openxmlformats.org/officeDocument/2006/relationships/hyperlink" Target="https://www.amazon.co.jp/dp/B01GW031SO?tag=webspire_new-22&amp;linkCode=osi&amp;th=1&amp;psc=1" TargetMode="External"/><Relationship Id="rId133" Type="http://schemas.openxmlformats.org/officeDocument/2006/relationships/hyperlink" Target="https://amzn.asia/d/0NA2X2X" TargetMode="External"/><Relationship Id="rId254" Type="http://schemas.openxmlformats.org/officeDocument/2006/relationships/hyperlink" Target="https://www.ebay.com/itm/298025789277?nordt=true&amp;orig_cvip=true&amp;rt=nc" TargetMode="External"/><Relationship Id="rId375" Type="http://schemas.openxmlformats.org/officeDocument/2006/relationships/hyperlink" Target="https://www.ebay.com/itm/134568693150?nordt=true&amp;orig_cvip=true&amp;rt=nc" TargetMode="External"/><Relationship Id="rId172" Type="http://schemas.openxmlformats.org/officeDocument/2006/relationships/hyperlink" Target="https://www.1101.com/store/techo/en/2026/pc/detail_cover/cc25_unsodo/" TargetMode="External"/><Relationship Id="rId293" Type="http://schemas.openxmlformats.org/officeDocument/2006/relationships/hyperlink" Target="https://www.discogs.com/release/34208857-Guns-N-Roses-The-Village-Sessions-Best-Selection?srsltid=AfmBOoqRc0MZDLqNcY-0kEn5MKfOUYPntQcBHIpN1BIl_LYhdW-z_8Eq" TargetMode="External"/><Relationship Id="rId171" Type="http://schemas.openxmlformats.org/officeDocument/2006/relationships/hyperlink" Target="https://www.1101.com/store/techo/en/2026/pc/detail_toolstoys/tt_letter_unsodo/" TargetMode="External"/><Relationship Id="rId292" Type="http://schemas.openxmlformats.org/officeDocument/2006/relationships/hyperlink" Target="https://www.amazon.co.jp/dp/B0FMQ6ZY9C?tag=webspire_new-22&amp;linkCode=osi&amp;th=1" TargetMode="External"/><Relationship Id="rId170" Type="http://schemas.openxmlformats.org/officeDocument/2006/relationships/hyperlink" Target="https://www.1101.com/store/techo/en/2026/pc/detail_cover/wb26_unsodo/" TargetMode="External"/><Relationship Id="rId291" Type="http://schemas.openxmlformats.org/officeDocument/2006/relationships/hyperlink" Target="https://www.amazon.co.jp/%E3%82%BC%E3%83%96%E3%83%A9-%E5%A4%9A%E6%A9%9F%E8%83%BD%E3%83%9A%E3%83%B3-%E3%82%B7%E3%83%A3%E3%83%BC%E3%83%9CX-%E3%83%8D%E3%82%A4%E3%83%93%E3%83%BC%E3%82%B4%E3%83%BC%E3%83%AB%E3%83%89-SB21-C-NVG/dp/B018PZLZVO/ref=zg_bs_g_2017191051_d_sccl_19/357-9393567-9939435?th=1" TargetMode="External"/><Relationship Id="rId290" Type="http://schemas.openxmlformats.org/officeDocument/2006/relationships/hyperlink" Target="https://www.amazon.co.jp/%E4%B8%89%E8%8F%B1%E9%89%9B%E7%AD%86-%E5%A4%9A%E6%A9%9F%E8%83%BD%E3%83%9A%E3%83%B3-%E3%82%B8%E3%82%A7%E3%83%83%E3%83%88%E3%82%B9%E3%83%88%E3%83%AA%E3%83%BC%E3%83%A0-%E3%83%8D%E3%82%A4%E3%83%93%E3%83%BC-MSXE380007-9/dp/B0F794CLPC/ref=zg_bs_g_2017191051_d_sccl_18/357-9393567-9939435?th=1" TargetMode="External"/><Relationship Id="rId165" Type="http://schemas.openxmlformats.org/officeDocument/2006/relationships/hyperlink" Target="https://www.ebay.com/itm/406442021196?nordt=true&amp;orig_cvip=true&amp;rt=nc" TargetMode="External"/><Relationship Id="rId286" Type="http://schemas.openxmlformats.org/officeDocument/2006/relationships/hyperlink" Target="https://www.amazon.co.jp/%E4%B8%89%E8%8F%B1%E9%89%9B%E7%AD%86-%E5%A4%9A%E6%A9%9F%E8%83%BD%E3%83%9A%E3%83%B3-%E3%82%B8%E3%82%A7%E3%83%83%E3%83%88%E3%82%B9%E3%83%88%E3%83%AA%E3%83%BC%E3%83%A0-%E3%83%96%E3%83%A9%E3%83%83%E3%82%AF-MSXE380005-24/dp/B017BEX432/ref=zg_bs_g_2017191051_d_sccl_14/357-9393567-9939435?psc=1" TargetMode="External"/><Relationship Id="rId164" Type="http://schemas.openxmlformats.org/officeDocument/2006/relationships/hyperlink" Target="https://www.amazon.co.jp/%E3%83%A6%E3%83%BC%E3%82%A8%E3%83%A0%E5%B7%A5%E6%A5%AD-270-33-%E3%82%B7%E3%83%AB%E3%82%AD%E3%83%BC-%E3%82%BA%E3%83%90%E3%83%83%E3%83%88-330mm/dp/B0014C4QMG/ref=sr_1_1?dib=eyJ2IjoiMSJ9.wxE9dbpwTMqHFDG1A_2po7OOgU2mqfNbqAi8YaiCcgc4Xv05HynDJKFUQnNw_cB0DYrRRBX2PPGdsDrB31rEyja1vq9xfPNAXJrqDVIlLGXea94OSJeXb6xjixnWWWOsUPcF42I44PEBw8FmVeNfHQ.XYsMhYUIzJ04NUEbdzU84NzATda1bA33X1LzMBVkMx4&amp;dib_tag=se&amp;keywords=silky%2B330m&amp;qid=1769751392&amp;sr=8-1&amp;th=1" TargetMode="External"/><Relationship Id="rId285" Type="http://schemas.openxmlformats.org/officeDocument/2006/relationships/hyperlink" Target="https://www.amazon.co.jp/dp/B0DXCP1444/ref=sspa_dk_detail_right_aax_0?psc=1&amp;sp_csd=d2lkZ2V0TmFtZT1zcF9kZXRhaWxfcmlnaHRfc2hhcmVk" TargetMode="External"/><Relationship Id="rId163" Type="http://schemas.openxmlformats.org/officeDocument/2006/relationships/hyperlink" Target="https://www.ebay.com/itm/127475525577?nordt=true&amp;orig_cvip=true&amp;rt=nc" TargetMode="External"/><Relationship Id="rId284" Type="http://schemas.openxmlformats.org/officeDocument/2006/relationships/hyperlink" Target="https://www.amazon.co.jp/%E4%B8%89%E8%8F%B1%E9%89%9B%E7%AD%86-%E5%A4%9A%E6%A9%9F%E8%83%BD%E3%83%9A%E3%83%B3-%E3%82%B8%E3%82%A7%E3%83%83%E3%83%88%E3%82%B9%E3%83%88%E3%83%AA%E3%83%BC%E3%83%A0-%E3%83%8D%E3%82%A4%E3%83%93%E3%83%BC-MSXE350005-9/dp/B0DPWGSFMB/ref=zg_bs_g_2017191051_d_sccl_11/357-9393567-9939435?th=1" TargetMode="External"/><Relationship Id="rId162" Type="http://schemas.openxmlformats.org/officeDocument/2006/relationships/hyperlink" Target="https://www.ebay.com/itm/396371069262?nordt=true&amp;orig_cvip=true&amp;rt=nc" TargetMode="External"/><Relationship Id="rId283" Type="http://schemas.openxmlformats.org/officeDocument/2006/relationships/hyperlink" Target="https://www.ebay.com/itm/365998301215?_skw=refa+heart+comb&amp;itmmeta=01KHW7598RWEJMX2J97D4H7Q54&amp;hash=item553732e01f:g:m0MAAeSwdEdpHEu1&amp;itmprp=enc%3AAQALAAAA8GfYFPkwiKCW4ZNSs2u11xCGRK%2Bgztzxz0VIA2MNV%2Bc4SKpX2%2FJdN%2BCfGjz9XxjRixKEVYkKlYujVZUJDzIedwtpbyaofFFeOQLLs3LoA%2BZux--bws5FTg8Yx%2ByMJWE5i8XEQrgqmWoQFQm4aV6Ecj8hVjdxrNgueq5WB%2FSG%2FklaqDde6E8Nean2qBQ3FRT4FPuMg7WvDJPtGz5lgHbatgf5eu9NKNycRQzGZV2ooaPEkdgd09IB%2FnzXAyvYUTEJEot6oYXj1qFeJN43Sj2VwUBkPBVDXdkWNGtwfw0nZJTD%2F%2BGiFdADdQYI5E1SS0sArQ%3D%3D%7Ctkp%3ABFBMvpSVh49n" TargetMode="External"/><Relationship Id="rId169" Type="http://schemas.openxmlformats.org/officeDocument/2006/relationships/hyperlink" Target="https://www.1101.com/store/techo/en/2026/pc/detail_cover/cc26_unsodo/" TargetMode="External"/><Relationship Id="rId168" Type="http://schemas.openxmlformats.org/officeDocument/2006/relationships/hyperlink" Target="https://www.1101.com/store/techo/en/2026/pc/detail_cover/oc26_unsodo/" TargetMode="External"/><Relationship Id="rId289" Type="http://schemas.openxmlformats.org/officeDocument/2006/relationships/hyperlink" Target="https://www.amazon.co.jp/%E4%B8%89%E8%8F%B1%E9%89%9B%E7%AD%86-%E5%A4%9A%E6%A9%9F%E8%83%BD%E3%83%9A%E3%83%B3-%E3%82%B8%E3%82%A7%E3%83%83%E3%83%88%E3%82%B9%E3%83%88%E3%83%AA%E3%83%BC%E3%83%A0-0-7-MSXE460007-8/dp/B0DJMFDV52/ref=zg_bs_g_2017191051_d_sccl_17/357-9393567-9939435?th=1" TargetMode="External"/><Relationship Id="rId167" Type="http://schemas.openxmlformats.org/officeDocument/2006/relationships/hyperlink" Target="https://www.ebay.com/itm/406161365431?nordt=true&amp;orig_cvip=true&amp;rt=nc" TargetMode="External"/><Relationship Id="rId288" Type="http://schemas.openxmlformats.org/officeDocument/2006/relationships/hyperlink" Target="https://www.amazon.co.jp/%E3%83%AD%E3%83%83%E3%83%88%E3%83%AA%E3%83%B3%E3%82%B0-%E3%83%9E%E3%83%AB%E3%83%81%E3%83%9A%E3%83%B3-%E3%82%B7%E3%83%AB%E3%83%90%E3%83%BC-2164109-%E6%AD%A3%E8%A6%8F%E8%BC%B8%E5%85%A5%E5%93%81/dp/B09JG527RJ/ref=zg_bs_g_2017191051_d_sccl_16/357-9393567-9939435?th=1" TargetMode="External"/><Relationship Id="rId166" Type="http://schemas.openxmlformats.org/officeDocument/2006/relationships/hyperlink" Target="https://www.amazon.co.jp/%E3%83%A6%E3%83%BC%E3%82%A8%E3%83%A0%E5%B7%A5%E6%A5%AD-Silky-%E7%89%87%E5%88%83%E3%81%AE%E3%81%93%E3%81%8E%E3%82%8A-%E3%82%B9%E3%82%B4%E3%82%A4-390-33/dp/B07SM279TK/ref=sr_1_5?dib=eyJ2IjoiMSJ9.wxE9dbpwTMqHFDG1A_2po7OOgU2mqfNbqAi8YaiCcgc4Xv05HynDJKFUQnNw_cB0DYrRRBX2PPGdsDrB31rEyja1vq9xfPNAXJrqDVIlLGXea94OSJeXb6xjixnWWWOsUPcF42I44PEBw8FmVeNfHQ.XYsMhYUIzJ04NUEbdzU84NzATda1bA33X1LzMBVkMx4&amp;dib_tag=se&amp;keywords=silky+330m&amp;qid=1769751392&amp;sr=8-5" TargetMode="External"/><Relationship Id="rId287" Type="http://schemas.openxmlformats.org/officeDocument/2006/relationships/hyperlink" Target="https://www.amazon.co.jp/%E4%B8%89%E8%8F%B1%E9%89%9B%E7%AD%86-%E5%A4%9A%E6%A9%9F%E8%83%BD%E3%83%9A%E3%83%B3-%E3%83%94%E3%83%A5%E3%82%A2%E3%83%A2%E3%83%AB%E3%83%88-%E3%83%A1%E3%82%BF%E3%83%AA%E3%83%83%E3%82%AF%E3%83%96%E3%83%A9%E3%82%A6%E3%83%B3-MSXE310057M21/dp/B004G5SB88/ref=zg_bs_g_2017191051_d_sccl_15/357-9393567-9939435?psc=1" TargetMode="External"/><Relationship Id="rId161" Type="http://schemas.openxmlformats.org/officeDocument/2006/relationships/hyperlink" Target="https://www.amazon.co.jp/dp/B0DR85FPYT?tag=webspire_new-22&amp;linkCode=osi&amp;th=1" TargetMode="External"/><Relationship Id="rId282" Type="http://schemas.openxmlformats.org/officeDocument/2006/relationships/hyperlink" Target="https://www.ebay.com/itm/406525086158?_skw=refa+heart+comb&amp;itmmeta=01KHW7598QKDK9CFECRPDSCAQH&amp;hash=item5ea6c889ce:g:mLIAAeSwtWZpO8XZ&amp;itmprp=enc%3AAQALAAAA0GfYFPkwiKCW4ZNSs2u11xCNR8oqaPHagZiIPqdO8uYBuZ0sjYdSNJiiTFmqHeM06yxl1dUEyeQ5NmBcTLYP4RpDs3FYbjOhBPXFNsPAcYLQvfVa1HFGZQ5QVwXcrL%2BcItOddC%2ByanNL12F%2FR91qkY6RHkBCvGXHPSgTzsqPc1t%2Fe1pOWqXy8qoFdzl2bS%2BoKG7VPvCw8MjUMCnnSp4TvSCqd8McGRzEFHymwPxgs%2F%2BUnypoqr9TsvjUFuqnkBti7%2BeZUkJVvpkOQ8yQJjoWOEk%3D%7Ctkp%3ABk9SR7qUlYePZw" TargetMode="External"/><Relationship Id="rId160" Type="http://schemas.openxmlformats.org/officeDocument/2006/relationships/hyperlink" Target="https://www.ebay.com/itm/317699481912?nordt=true&amp;orig_cvip=true&amp;rt=nc" TargetMode="External"/><Relationship Id="rId281" Type="http://schemas.openxmlformats.org/officeDocument/2006/relationships/hyperlink" Target="https://www.ebay.com/itm/317868487166?_skw=refa+heart+comb&amp;itmmeta=01KHW7598QDKDXZRCWXSFDTA3Q&amp;hash=item4a027031fe:g:FVsAAeSwx~BpjMQB&amp;itmprp=enc%3AAQALAAAA0GfYFPkwiKCW4ZNSs2u11xBxTiYb7o4i8V28VnpQw4TA4DdA2081JRBMgtYip9Z5WgYzA%2BXR2wxtNnHsQmeFFE03HSNatMJ3WVFgwQukC69xWwCAA0j1jkhpKYtmaXplwupD%2B%2BKHImN8sA464saZOTHtUm%2FeQlIlELSxMsFwwIPm23K%2Fq0zcu90WKrHEe9Wnr6RA%2FIb2Q1w4oJX7UhFybH3xD6fwL7eLTz%2B15q5IEoP9ebiHLt0trmiIm7rnRU%2F7wXvCB6pAgsBRjcr22thZvdA%3D%7Ctkp%3ABk9SR7yUlYePZw" TargetMode="External"/><Relationship Id="rId280" Type="http://schemas.openxmlformats.org/officeDocument/2006/relationships/hyperlink" Target="https://www.amazon.co.jp/%E3%83%AA%E3%83%95%E3%82%A1-%E3%83%8F%E3%83%BC%E3%83%88%E3%83%96%E3%83%A9%E3%82%B7-ReFa-HEART-%E3%82%AA%E3%83%BC%E3%83%AD%E3%83%A9%E3%83%9B%E3%83%AF%E3%82%A4%E3%83%88/dp/B0B8SFW3CD/ref=sr_1_15?crid=A2EY32OJT762&amp;dib=eyJ2IjoiMSJ9.Xt5GhIDlJEJtU8drC2ZNtIrgBTaZ0Fgu-dVLC91pCPo1ECjZx7O3s_ZgaKDzhMfxjb5dzyfKsF5sEHIvd02S-EAJMb4XI5jAYRT_udySF5DQ_0nQldT3hhHhkVu53ArFxd9L4mP37ikv0bPhpSEBmvNFl4gHWgjNQwXgex21q7RW0rneFANdtpdD0oawrDGgTNNAJm7n8SB6Jq9eySfpwf00ymk0fYCGr2GG-bi3MJyWbtKJ7FITI-qP6IxVxdegZ3CvHjdmh9QnYCPjkgi7Z4cPa8EOP09gMARyE7RJMF8.ccbAzR9SZOdI8z7Krcvfg2pfmCJG79C1D4r6xlRk1rY&amp;dib_tag=se&amp;keywords=ReFa%2BBRUSH&amp;qid=1771547220&amp;sprefix=refa%2Bshampoo%2Bbrush%2Caps%2C274&amp;sr=8-15&amp;th=1" TargetMode="External"/><Relationship Id="rId159" Type="http://schemas.openxmlformats.org/officeDocument/2006/relationships/hyperlink" Target="https://www.amazon.co.jp/%E3%82%B7%E3%83%AB%E3%83%90%E3%83%8B%E3%82%A2%E3%83%95%E3%82%A1%E3%83%9F%E3%83%AA%E3%83%BC-%E3%83%9B%E3%82%A4%E3%83%83%E3%83%97%E3%82%AD%E3%83%BC%E3%83%81%E3%82%A7%E3%83%BC%E3%83%B3%E3%82%AD%E3%83%83%E3%83%88-%EF%BC%88%E3%83%81%E3%83%A7%E3%82%B3%E3%83%9F%E3%83%B3%E3%83%88%EF%BC%89-W-170-EPOCH/dp/B0G3ZXP14R/ref=sr_1_1?__mk_ja_JP=%E3%82%AB%E3%82%BF%E3%82%AB%E3%83%8A&amp;crid=1MF3L0PMS1FRP&amp;dib=eyJ2IjoiMSJ9.D9f3OUjz6r9QhzNxYsmBBHdMISJfHxd6lqXYCJfZJ1Q.iMDwjLAxl_axeTJTZ62t-q81srf4OgVbgA8pzxe6Zts&amp;dib_tag=se&amp;keywords=NEW+Whipple+Sylvanian+Families+Whip+Keychain+Kit+Choco+Mint+W-170+Japan+Toy+F%2FS&amp;qid=1770101766&amp;sprefix=new+whipple+sylvanian+families+whip+keychain+kit+choco+mint+w-170+japan+toy+f%2Fs%2Caps%2C264&amp;sr=8-1" TargetMode="External"/><Relationship Id="rId154" Type="http://schemas.openxmlformats.org/officeDocument/2006/relationships/hyperlink" Target="https://amzn.asia/d/ddh98Jq" TargetMode="External"/><Relationship Id="rId275" Type="http://schemas.openxmlformats.org/officeDocument/2006/relationships/hyperlink" Target="https://www.amazon.co.jp/%E4%B8%89%E8%8F%B1%E9%89%9B%E7%AD%86-%E5%A4%9A%E6%A9%9F%E8%83%BD%E3%83%9A%E3%83%B3-%E3%83%94%E3%83%A5%E3%82%A2%E3%83%A2%E3%83%AB%E3%83%88%E3%83%97%E3%83%AC%E3%83%9F%E3%82%A2%E3%83%A0-%E3%83%96%E3%83%A9%E3%83%83%E3%82%AF-MSXE520050724/dp/B0013K36UW/ref=zg_bs_g_2017191051_d_sccl_7/357-9393567-9939435?th=1" TargetMode="External"/><Relationship Id="rId396" Type="http://schemas.openxmlformats.org/officeDocument/2006/relationships/hyperlink" Target="https://www.amazon.co.jp/dp/B00CCTU8K4?tag=webspire_new-22&amp;linkCode=osi&amp;th=1&amp;psc=1" TargetMode="External"/><Relationship Id="rId153" Type="http://schemas.openxmlformats.org/officeDocument/2006/relationships/hyperlink" Target="https://amzn.asia/d/2f8ykBU" TargetMode="External"/><Relationship Id="rId274" Type="http://schemas.openxmlformats.org/officeDocument/2006/relationships/hyperlink" Target="https://www.amazon.co.jp/%E4%B8%89%E8%8F%B1%E9%89%9B%E7%AD%86-%E5%A4%9A%E6%A9%9F%E8%83%BD%E3%83%9A%E3%83%B3-%E3%83%94%E3%83%A5%E3%82%A2%E3%83%A2%E3%83%AB%E3%83%88%E3%83%97%E3%83%AC%E3%83%9F%E3%82%A2%E3%83%A0-%E3%83%96%E3%83%A9%E3%83%83%E3%82%AF-MSXE520050724/dp/B004G5N8S6/ref=zg_bs_g_2017191051_d_sccl_7/357-9393567-9939435?th=1" TargetMode="External"/><Relationship Id="rId395" Type="http://schemas.openxmlformats.org/officeDocument/2006/relationships/hyperlink" Target="https://www.ebay.com/itm/145269104180?nordt=true&amp;orig_cvip=true&amp;rt=nc" TargetMode="External"/><Relationship Id="rId152" Type="http://schemas.openxmlformats.org/officeDocument/2006/relationships/hyperlink" Target="https://amzn.asia/d/9VfnAIb" TargetMode="External"/><Relationship Id="rId273" Type="http://schemas.openxmlformats.org/officeDocument/2006/relationships/hyperlink" Target="https://www.amazon.co.jp/%E4%B8%89%E8%8F%B1%E9%89%9B%E7%AD%86-%E5%A4%9A%E6%A9%9F%E8%83%BD%E3%83%9A%E3%83%B3-%E3%82%B8%E3%82%A7%E3%83%83%E3%83%88%E3%82%B9%E3%83%88%E3%83%AA%E3%83%BC%E3%83%A0-%E3%82%B5%E3%83%B3%E3%82%BB%E3%83%83%E3%83%88%E3%82%AA%E3%83%AC%E3%83%B3%E3%82%B8-MSXE5KF05-4/dp/B0CNQZPZ6H/ref=zg_bs_g_2017191051_d_sccl_6/357-9393567-9939435?th=1" TargetMode="External"/><Relationship Id="rId394" Type="http://schemas.openxmlformats.org/officeDocument/2006/relationships/hyperlink" Target="https://www.amazon.co.jp/dp/B08LJ166GS?tag=webspire_new-22&amp;linkCode=osi&amp;th=1&amp;psc=1" TargetMode="External"/><Relationship Id="rId151" Type="http://schemas.openxmlformats.org/officeDocument/2006/relationships/hyperlink" Target="https://amzn.asia/d/hbiBsBI" TargetMode="External"/><Relationship Id="rId272" Type="http://schemas.openxmlformats.org/officeDocument/2006/relationships/hyperlink" Target="https://www.amazon.co.jp/%E4%B8%89%E8%8F%B1%E9%89%9B%E7%AD%86-%E3%82%B8%E3%82%A7%E3%83%83%E3%83%88%E3%82%B9%E3%83%88%E3%83%AA%E3%83%BC%E3%83%A0-%E3%83%A9%E3%82%A4%E3%83%88%E3%82%BF%E3%83%83%E3%83%81%E3%82%A4%E3%83%B3%E3%82%AF-%E3%82%B3%E3%83%BC%E3%83%A9%E3%83%AB%E3%83%94%E3%83%B3%E3%82%AF-MSXE5LS05-66/dp/B0D31GTCFK/ref=zg_bs_g_2017191051_d_sccl_4/357-9393567-9939435?th=1" TargetMode="External"/><Relationship Id="rId393" Type="http://schemas.openxmlformats.org/officeDocument/2006/relationships/hyperlink" Target="https://www.ebay.com/itm/145061727721?nordt=true&amp;orig_cvip=true&amp;rt=nc" TargetMode="External"/><Relationship Id="rId158" Type="http://schemas.openxmlformats.org/officeDocument/2006/relationships/hyperlink" Target="https://www.ebay.com/itm/147115249212?nordt=true&amp;orig_cvip=true&amp;rt=nc" TargetMode="External"/><Relationship Id="rId279" Type="http://schemas.openxmlformats.org/officeDocument/2006/relationships/hyperlink" Target="https://www.amazon.co.jp/%E3%82%B7%E3%83%AB%E3%82%AD%E3%83%BC-%E3%82%BA%E3%83%90%E3%83%83%E3%83%88-1200-330mm-272-12/dp/B0014CC5BA/ref=sr_1_7?crid=3GHF2S6C0D3ZP&amp;dib=eyJ2IjoiMSJ9.0F2nwrFf-H5w-rSP_djOC_KbTYJc5hA3oJiL4qJoGz-SMEGXYGWW1erfwOtfotAtTHUCzR5EUTt31JAKdH4yxi7RjWLQnb0e1uVr-Gdh5mFPZAQHNRHfPbKSbZhfyZl9lIDajPDKUfrakoaD6SThmSaYux2xgGR-hQ_WfMFqMdhbOS-3bw_osh6wEt0S9J2lw_qo5ljAI2wvyOiITNzeGDQp44ScazdWxxT6xpoCSw-6Gtu5-DD1BTMuytc9MrpQCndhDc9AxCQs9q48CV_K2m9u9grRK15NjNkaM39Ky84.jEHXC9JR7DooDEINhX2zhmZ-8p-2w2UULyLLcj96WeY&amp;dib_tag=se&amp;keywords=silky+zubat&amp;qid=1771306700&amp;sprefix=silky+zu%27ba%2Caps%2C289&amp;sr=8-7" TargetMode="External"/><Relationship Id="rId157" Type="http://schemas.openxmlformats.org/officeDocument/2006/relationships/hyperlink" Target="https://www.amazon.co.jp/dp/B0D1XR81NP?tag=webspire_new-22&amp;linkCode=osi&amp;th=1" TargetMode="External"/><Relationship Id="rId278" Type="http://schemas.openxmlformats.org/officeDocument/2006/relationships/hyperlink" Target="https://www.amazon.co.jp/%E4%B8%89%E8%8F%B1%E9%89%9B%E7%AD%86-%E3%83%9C%E3%83%BC%E3%83%AB%E3%83%9A%E3%83%B3%E6%9B%BF%E8%8A%AF-%E3%82%B8%E3%82%A7%E3%83%83%E3%83%88%E3%82%B9%E3%83%88%E3%83%AA%E3%83%BC%E3%83%A0-%E5%A4%9A%E8%89%B2%E5%A4%9A%E6%A9%9F%E8%83%BD-SXR80055P-24/dp/B007E66IZY?pd_rd_w=5m1MZ&amp;content-id=amzn1.sym.c8e6625d-3ecd-4749-8f7b-7ceed47b44da&amp;pf_rd_p=c8e6625d-3ecd-4749-8f7b-7ceed47b44da&amp;pf_rd_r=ERKK5778N3306QJFCGY4&amp;pd_rd_wg=ibPwt&amp;pd_rd_r=128ba821-e286-4812-87ff-07adc538e6d2&amp;ref_=sspa_dk_detail_sbb_img_0&amp;sp_csd=d2lkZ2V0TmFtZT1zcF9kZXRhaWxfdGhlbWF0aWM&amp;th=1" TargetMode="External"/><Relationship Id="rId399" Type="http://schemas.openxmlformats.org/officeDocument/2006/relationships/hyperlink" Target="https://www.amazon.co.jp/dp/B086YF2Z9R?tag=webspire_new-22&amp;linkCode=osi&amp;th=1&amp;psc=1" TargetMode="External"/><Relationship Id="rId156" Type="http://schemas.openxmlformats.org/officeDocument/2006/relationships/hyperlink" Target="https://amzn.asia/d/7z7txNs" TargetMode="External"/><Relationship Id="rId277" Type="http://schemas.openxmlformats.org/officeDocument/2006/relationships/hyperlink" Target="https://www.amazon.co.jp/%E4%B8%89%E8%8F%B1%E9%89%9B%E7%AD%86-%E5%A4%9A%E6%A9%9F%E8%83%BD%E3%83%9A%E3%83%B3-%E3%82%B8%E3%82%A7%E3%83%83%E3%83%88%E3%82%B9%E3%83%88%E3%83%AA%E3%83%BC%E3%83%A0-%E3%83%8D%E3%82%A4%E3%83%93%E3%83%BC-MSXE350005-9/dp/B0DPWKFLDN/ref=zg_bs_g_2017191051_d_sccl_8/357-9393567-9939435?th=1" TargetMode="External"/><Relationship Id="rId398" Type="http://schemas.openxmlformats.org/officeDocument/2006/relationships/hyperlink" Target="https://www.amazon.co.jp/dp/B006J1H4UI?tag=webspire_new-22&amp;linkCode=osi&amp;th=1&amp;psc=1" TargetMode="External"/><Relationship Id="rId155" Type="http://schemas.openxmlformats.org/officeDocument/2006/relationships/hyperlink" Target="https://amzn.asia/d/20nviFC" TargetMode="External"/><Relationship Id="rId276" Type="http://schemas.openxmlformats.org/officeDocument/2006/relationships/hyperlink" Target="https://www.amazon.co.jp/%E4%B8%89%E8%8F%B1%E9%89%9B%E7%AD%86-%E5%A4%9A%E6%A9%9F%E8%83%BD%E3%83%9A%E3%83%B3-%E3%83%94%E3%83%A5%E3%82%A2%E3%83%A2%E3%83%AB%E3%83%88%E3%83%97%E3%83%AC%E3%83%9F%E3%82%A2%E3%83%A0-%E3%83%96%E3%83%A9%E3%83%83%E3%82%AF-MSXE520050724/dp/B002CKJ4CQ/ref=zg_bs_g_2017191051_d_sccl_7/357-9393567-9939435?th=1" TargetMode="External"/><Relationship Id="rId397" Type="http://schemas.openxmlformats.org/officeDocument/2006/relationships/hyperlink" Target="https://www.ebay.com/itm/146060986929?nordt=true&amp;orig_cvip=true&amp;rt=nc" TargetMode="External"/><Relationship Id="rId40" Type="http://schemas.openxmlformats.org/officeDocument/2006/relationships/hyperlink" Target="https://www.amazon.co.jp/dp/B003WIT4FY?tag=webspire_new-22&amp;linkCode=osi&amp;th=1&amp;psc=1" TargetMode="External"/><Relationship Id="rId42" Type="http://schemas.openxmlformats.org/officeDocument/2006/relationships/hyperlink" Target="https://www.amazon.co.jp/dp/B002CNV3P4?tag=webspire_new-22&amp;linkCode=osi&amp;th=1&amp;psc=1" TargetMode="External"/><Relationship Id="rId41" Type="http://schemas.openxmlformats.org/officeDocument/2006/relationships/hyperlink" Target="https://www.amazon.co.jp/dp/B0756M7JDB?tag=webspire_new-22&amp;linkCode=osi&amp;th=1&amp;psc=1" TargetMode="External"/><Relationship Id="rId44" Type="http://schemas.openxmlformats.org/officeDocument/2006/relationships/hyperlink" Target="https://www.cdjapan.co.jp/product/NEODAI-93477" TargetMode="External"/><Relationship Id="rId43" Type="http://schemas.openxmlformats.org/officeDocument/2006/relationships/hyperlink" Target="https://shop.shinfuji.co.jp/products/st-261?variant=44274645532895" TargetMode="External"/><Relationship Id="rId46" Type="http://schemas.openxmlformats.org/officeDocument/2006/relationships/hyperlink" Target="https://www.amazon.co.jp/dp/B0F1F1LGCQ?tag=webspire_new-22&amp;linkCode=osi&amp;th=1&amp;psc=1" TargetMode="External"/><Relationship Id="rId45" Type="http://schemas.openxmlformats.org/officeDocument/2006/relationships/hyperlink" Target="https://www.amazon.co.jp/dp/B002WQSVHY?tag=webspire_new-22&amp;linkCode=osi&amp;th=1&amp;psc=1" TargetMode="External"/><Relationship Id="rId48" Type="http://schemas.openxmlformats.org/officeDocument/2006/relationships/hyperlink" Target="https://www.amazon.co.jp/dp/B09MD9XN4B?tag=webspire_new-22&amp;linkCode=osi&amp;th=1" TargetMode="External"/><Relationship Id="rId47" Type="http://schemas.openxmlformats.org/officeDocument/2006/relationships/hyperlink" Target="https://item.rakuten.co.jp/guruguru2/tyct-69338/?scid=af_pc_etc&amp;sc2id=af_106_0_10002231&amp;af_tr_src=i2i_bh__g5_g4&amp;af_tct=t_0_top" TargetMode="External"/><Relationship Id="rId49" Type="http://schemas.openxmlformats.org/officeDocument/2006/relationships/hyperlink" Target="https://store.shopping.yahoo.co.jp/tomysshop/1225-001035.html?sc_e=afvc_shp_3144472" TargetMode="External"/><Relationship Id="rId31" Type="http://schemas.openxmlformats.org/officeDocument/2006/relationships/hyperlink" Target="https://www.1101.com/store/techo/en/2026/pc/detail_toolstoys/tt_liner_okumi/" TargetMode="External"/><Relationship Id="rId30" Type="http://schemas.openxmlformats.org/officeDocument/2006/relationships/hyperlink" Target="https://www.1101.com/store/techo/en/2026/pc/detail_toolstoys/tt_cocc_okumi/" TargetMode="External"/><Relationship Id="rId33" Type="http://schemas.openxmlformats.org/officeDocument/2006/relationships/hyperlink" Target="https://www.1101.com/store/techo/en/2026/pc/detail_toolstoys/tt_cc_okumi/" TargetMode="External"/><Relationship Id="rId32" Type="http://schemas.openxmlformats.org/officeDocument/2006/relationships/hyperlink" Target="https://www.amazon.co.jp/%E5%A5%A5%E8%A6%8B%E4%BC%8A%E4%BB%A3-%E3%81%BB%E3%81%BC%E6%97%A5%E3%81%AE%E4%B8%8B%E6%95%B7%E3%81%8D-HAPPY-taste-%E3%82%AB%E3%82%BA%E3%83%B3%E3%82%B5%E3%82%A4%E3%82%BA%E7%94%A8/dp/B0FG2JVCDV?th=1" TargetMode="External"/><Relationship Id="rId35" Type="http://schemas.openxmlformats.org/officeDocument/2006/relationships/hyperlink" Target="https://www.amazon.co.jp/%E3%80%90Amazon-co-jp-%E9%99%90%E5%AE%9A%E3%80%91%E3%82%B7%E3%83%AB%E3%83%90%E3%83%8B%E3%82%A2%E3%83%95%E3%82%A1%E3%83%9F%E3%83%AA%E3%83%BC-%E8%B5%A4%E3%81%84%E5%B1%8B%E6%A0%B9%E3%81%AE%E5%A4%A7%E3%81%8D%E3%81%AA%E3%81%8A%E5%AE%B6-%E5%B1%8B%E6%A0%B9%E8%A3%8F%E3%81%AF%E3%81%B2%E3%81%BF%E3%81%A4%E3%81%AE%E3%81%8A%E9%83%A8%E5%B1%8B-22-RZ/dp/B0BBT9GZ5J/ref=sr_1_1_sspa?crid=2L1N1L8X8E7GY&amp;dib=eyJ2IjoiMSJ9.SpscTIEXrgIcKzrEJ6cefh34U0X21LOcjx472J8jcOsnVKIWjGXyYsWKflM6BUPS2TEoMLTm319CRoIev6kET7JQriElusxqss7RosSabpZA0nLX1ouwCl8hW6cVmS23nBBgg_udd12w7IU0Q0ZAohvCF4S2dngmVnGu1Zo-54VIDI023hGPpQcZIzO0qZePvd6JEe8GaUmFkcWrQqLA1Yo2q9cMy27xP6aaVfODo6eM2SW9DNcA9VR3DgdQ_mPhE6e-ZB35jrZu9CPG1FFPt4M7ND3ZP4U5FH5m0v1y9W4.6OL6uvuO6FxJmSNEddPuJou_Gpxg2CNEXLBsd4xf97c&amp;dib_tag=se&amp;keywords=sylvanian%2Bfamilies&amp;qid=1768886676&amp;sprefix=sylvanian%2Caps%2C243&amp;sr=8-1-spons&amp;sp_csd=d2lkZ2V0TmFtZT1zcF9hdGY&amp;th=1" TargetMode="External"/><Relationship Id="rId34" Type="http://schemas.openxmlformats.org/officeDocument/2006/relationships/hyperlink" Target="https://www.amazon.co.jp/dp/B0DCD2CSS1?tag=webspire_new-22&amp;linkCode=osi&amp;th=1&amp;psc=1" TargetMode="External"/><Relationship Id="rId37" Type="http://schemas.openxmlformats.org/officeDocument/2006/relationships/hyperlink" Target="https://www.amazon.co.jp/dp/B000059O4K?tag=webspire_new-22&amp;linkCode=osi&amp;th=1&amp;psc=1" TargetMode="External"/><Relationship Id="rId36" Type="http://schemas.openxmlformats.org/officeDocument/2006/relationships/hyperlink" Target="https://www.1101.com/store/techo/en/2026/pc/detail_cover/cc26_okumi/" TargetMode="External"/><Relationship Id="rId39" Type="http://schemas.openxmlformats.org/officeDocument/2006/relationships/hyperlink" Target="https://www.amazon.co.jp/dp/B0G8Y9NPN7?tag=webspire_new-22&amp;linkCode=osi&amp;th=1&amp;psc=1" TargetMode="External"/><Relationship Id="rId38" Type="http://schemas.openxmlformats.org/officeDocument/2006/relationships/hyperlink" Target="https://www.amazon.co.jp/dp/B0CCXJXSLT?tag=webspire_new-22&amp;linkCode=osi&amp;th=1&amp;psc=1" TargetMode="External"/><Relationship Id="rId20" Type="http://schemas.openxmlformats.org/officeDocument/2006/relationships/hyperlink" Target="https://www.amazon.co.jp/dp/B07RW7KB6F?tag=webspire_new-22&amp;linkCode=osi&amp;th=1&amp;psc=1" TargetMode="External"/><Relationship Id="rId22" Type="http://schemas.openxmlformats.org/officeDocument/2006/relationships/hyperlink" Target="https://www.amazon.co.jp/dp/B00CCTU9YY?tag=webspire_new-22&amp;linkCode=osi&amp;th=1&amp;psc=1" TargetMode="External"/><Relationship Id="rId21" Type="http://schemas.openxmlformats.org/officeDocument/2006/relationships/hyperlink" Target="https://www.amazon.co.jp/dp/B0FXGS6X6V?tag=webspire_new-22&amp;linkCode=osi&amp;th=1&amp;psc=1" TargetMode="External"/><Relationship Id="rId24" Type="http://schemas.openxmlformats.org/officeDocument/2006/relationships/hyperlink" Target="https://www.amazon.co.jp/dp/B0FYDX6Z7D?tag=webspire_new-22&amp;linkCode=osi&amp;th=1&amp;psc=1" TargetMode="External"/><Relationship Id="rId23" Type="http://schemas.openxmlformats.org/officeDocument/2006/relationships/hyperlink" Target="https://www.amazon.co.jp/dp/B0G394CNLB?tag=webspire_new-22&amp;linkCode=osi&amp;th=1&amp;psc=1" TargetMode="External"/><Relationship Id="rId409" Type="http://schemas.openxmlformats.org/officeDocument/2006/relationships/hyperlink" Target="https://www.qoo10.jp/item/%E7%B5%90%E6%9D%9F%E3%83%90%E3%83%B3%E3%83%89-%E6%9C%9F%E9%96%93%E7%94%9F%E7%94%A3%E9%99%90%E5%AE%9A%E7%9B%A4-CD-%E3%81%BC%E3%81%A3%E3%81%A1%E3%83%BB%E3%81%96%E3%83%BB%E3%82%8D%E3%81%A3%E3%81%8F%EF%BC%81/1158320716?jaehuid=2026381521&amp;vc_lpp=MyY4NDQ3Y2I2ZTk0JjY5YWU1M2ZmJjM2NTVjMSY2OWFmYTU3ZSZhYTVUX2dBSVA5bTItUlh1Q29vQ0tncUtDN2xpN3cmNAlhYTVUX2dBSVA5bTItUlh1Q29vQ0tncUtDN2xpN3cJMDg4NjkyODk5MjAyODU4ODY0MjYwMzA5MDUwMDQ2CQlodHRwczovL3d3dy5zYWl5YXN1bmUuY29tLwk&amp;vc_cec=2__$__26aa5T_gAIP9m2-RXuCooCKgqKC7li7w" TargetMode="External"/><Relationship Id="rId404" Type="http://schemas.openxmlformats.org/officeDocument/2006/relationships/hyperlink" Target="https://www.ebay.com/itm/364859422464?nordt=true&amp;orig_cvip=true&amp;rt=nc" TargetMode="External"/><Relationship Id="rId403" Type="http://schemas.openxmlformats.org/officeDocument/2006/relationships/hyperlink" Target="https://www.amazon.co.jp/dp/B01K24FDKK?tag=webspire_new-22&amp;linkCode=osi&amp;th=1&amp;psc=1" TargetMode="External"/><Relationship Id="rId402" Type="http://schemas.openxmlformats.org/officeDocument/2006/relationships/hyperlink" Target="https://www.ebay.com/itm/117056124639?nordt=true&amp;orig_cvip=true&amp;rt=nc" TargetMode="External"/><Relationship Id="rId401" Type="http://schemas.openxmlformats.org/officeDocument/2006/relationships/hyperlink" Target="https://www.amazon.co.jp/dp/B0GGZC4MF5?tag=webspire_new-22&amp;linkCode=osi&amp;th=1&amp;psc=1" TargetMode="External"/><Relationship Id="rId408" Type="http://schemas.openxmlformats.org/officeDocument/2006/relationships/hyperlink" Target="https://www.ebay.com/itm/366197727208?nordt=true&amp;orig_cvip=true&amp;rt=nc" TargetMode="External"/><Relationship Id="rId407" Type="http://schemas.openxmlformats.org/officeDocument/2006/relationships/hyperlink" Target="https://www.amazon.co.jp/dp/B01MYE0LV2?tag=webspire_new-22&amp;linkCode=osi&amp;th=1&amp;psc=1" TargetMode="External"/><Relationship Id="rId406" Type="http://schemas.openxmlformats.org/officeDocument/2006/relationships/hyperlink" Target="https://www.ebay.com/itm/365543095533?nordt=true&amp;orig_cvip=true&amp;rt=nc" TargetMode="External"/><Relationship Id="rId405" Type="http://schemas.openxmlformats.org/officeDocument/2006/relationships/hyperlink" Target="https://books.rakuten.co.jp/rb/18181401/?scid=af_pc_etc&amp;sc2id=af_106_0_10002231&amp;af_tr_src=i2i_bh__g5_g4&amp;af_tct=t_0_top" TargetMode="External"/><Relationship Id="rId26" Type="http://schemas.openxmlformats.org/officeDocument/2006/relationships/hyperlink" Target="https://www.amazon.co.jp/18%E3%82%A8%E3%82%AF%E3%82%B9%E3%83%88%E3%83%A9%E3%82%B9%E3%82%B1%E3%83%BC%E3%83%AB%E5%9B%BD%E7%94%A3%E5%90%8D%E8%BB%8A-%E5%89%B5%E5%88%8A-2026%E5%B9%B4-21-%E5%8F%B7-%E9%9B%91%E8%AA%8C/dp/B0G6MF8H65/ref=pd_sbs_d_sccl_2_3/355-3582507-3163057?pd_rd_w=eLa6J&amp;content-id=amzn1.sym.06c48127-87ed-46e1-9c82-5caa3f707eab&amp;pf_rd_p=06c48127-87ed-46e1-9c82-5caa3f707eab&amp;pf_rd_r=VCMA0SBFFVJ78BS9PE9N&amp;pd_rd_wg=RIn5r&amp;pd_rd_r=d58db1eb-817f-4980-ab1c-c9fb6d3c9939&amp;pd_rd_i=B0G6MF8H65&amp;psc=1" TargetMode="External"/><Relationship Id="rId25" Type="http://schemas.openxmlformats.org/officeDocument/2006/relationships/hyperlink" Target="https://store.shopping.yahoo.co.jp/esdigital/10164087.html?sc_e=afvc_shp_3144472" TargetMode="External"/><Relationship Id="rId28" Type="http://schemas.openxmlformats.org/officeDocument/2006/relationships/hyperlink" Target="https://www.1101.com/store/techo/en/2026/pc/detail_toolstoys/tt_papers_okumi/" TargetMode="External"/><Relationship Id="rId27" Type="http://schemas.openxmlformats.org/officeDocument/2006/relationships/hyperlink" Target="https://www.1101.com/store/techo/en/2026/pc/detail_toolstoys/tt_memo_okumi/" TargetMode="External"/><Relationship Id="rId400" Type="http://schemas.openxmlformats.org/officeDocument/2006/relationships/hyperlink" Target="https://www.ebay.com/itm/365735234668?nordt=true&amp;orig_cvip=true&amp;rt=nc" TargetMode="External"/><Relationship Id="rId29" Type="http://schemas.openxmlformats.org/officeDocument/2006/relationships/hyperlink" Target="https://www.1101.com/store/techo/en/2026/pc/detail_toolstoys/tt_clearfilec_okumi/" TargetMode="External"/><Relationship Id="rId11" Type="http://schemas.openxmlformats.org/officeDocument/2006/relationships/hyperlink" Target="https://www.amazon.co.jp/Piececool-%E7%AB%8B%E4%BD%93%E3%83%91%E3%82%BA%E3%83%AB-%E3%83%A1%E3%82%BF%E3%83%AA%E3%83%83%E3%82%AF%E3%83%8A%E3%83%8E%E3%83%91%E3%82%BA%E3%83%AB-%E3%83%95%E3%83%A9%E3%82%A4%E3%83%B3%E3%82%B0%E3%83%BB%E3%83%80%E3%83%83%E3%83%81%E3%83%9E%E3%83%B3-%E3%82%A2%E3%83%83%E3%83%97%E3%82%B0%E3%83%AC%E3%83%BC%E3%83%89%E7%89%88/dp/B09YT1YSKB/ref=sr_1_59?crid=17D3QITS52M7D&amp;dib=eyJ2IjoiMSJ9.olFbl_N22_DSrBlzMUCjMq1ClVmhyqD1jMvs2qKqIebSN2N1uWOJ0dXNw42MNMYKofI-SfhEypjObxqVlvTzAcnnqodHunxfilePYLilXjrib31J56p_uXdQiMPY8vF6LAiGScN24REfB2-wdseiwkqKDmgdmsNlFPWsNV5Lwi7i8SXzbNM5wuo0StZLfL_396hBzKKwd8y_9VOq3yH5r37o_DxYoss5bt67epn-RnRD2INeKYl3P6RUkAGSFQBOKBLA_-wjtmb3BUE4599h9RJJBta-RY065r2I4cDmfL4.VyZo6BC8MPrp8P3xIqarBkd3QU84UKDT4w1mCiNXlPw&amp;dib_tag=se&amp;keywords=rokr&amp;qid=1768526854&amp;sprefix=rokr%2Caps%2C329&amp;sr=8-59&amp;th=1" TargetMode="External"/><Relationship Id="rId10" Type="http://schemas.openxmlformats.org/officeDocument/2006/relationships/hyperlink" Target="https://www.amazon.co.jp/%E3%82%BC%E3%83%96%E3%83%A9-%E3%82%B8%E3%82%A7%E3%83%AB%E3%83%9C%E3%83%BC%E3%83%AB%E3%83%9A%E3%83%B3-%E3%82%B5%E3%83%A9%E3%82%B5%E3%82%AF%E3%83%AA%E3%83%83%E3%83%97-%E3%83%8F%E3%83%AA%E3%83%BC%E3%83%BB%E3%83%9D%E3%83%83%E3%82%BF%E3%83%BC-JJ29-HP-4C/dp/B0FXKX12T6/ref=sr_1_5?crid=20024SRCOS2XV&amp;dib=eyJ2IjoiMSJ9.rWLJSoZyhQrM-SeYB-jDgjwm4IMaMb9JiD8j8KQqQ675-XZbLOQLgO0o4rdO4tMaLSVuBNapfEy287eo6kgFc5GW-KwW_VOaDp3yOKVCUh2NnX1h7JtFx8R0bko_R4-eJuhCtQlcEfHldI8rhupFDIKKlnKTt2SCMZ6fkRfc2J1b_QCp2ilFB9aLMgq4--WqOXedeFFaJovdbF6A4n9nYyK7nPlkwaASrrqgH5J3F1TgfHf7YKQha5e9RUIrI-EP0jusGloMopxf910-z4BwYrUPx9i2SNyMPpYy3u2mv18.THAjTe9AVJhGKLZMZNnHyH-dl-LFpajgvif0flGeLQY&amp;dib_tag=se&amp;keywords=zebra+harry+potter&amp;qid=1768526776&amp;sprefix=zebra+ha%2Caps%2C243&amp;sr=8-5" TargetMode="External"/><Relationship Id="rId13" Type="http://schemas.openxmlformats.org/officeDocument/2006/relationships/hyperlink" Target="https://www.amazon.co.jp/%E3%83%8F%E3%83%8A%E3%83%A4%E3%83%9E-%E3%81%AF%E3%81%9A%E3%82%8B-%E3%82%BC%E3%83%AB%E3%83%80%E3%81%AE%E4%BC%9D%E8%AA%AC-%E3%83%9E%E3%82%B9%E3%82%BF%E3%83%BC%E3%82%BD%E3%83%BC%E3%83%89-075695/dp/B0BVXXJ38P/ref=zg_bs_g_2189598051_d_sccl_7/355-3582507-3163057?th=1" TargetMode="External"/><Relationship Id="rId12" Type="http://schemas.openxmlformats.org/officeDocument/2006/relationships/hyperlink" Target="https://www.amazon.co.jp/LQHZC%E2%80%8B-%E6%8A%98%E7%95%B3%E3%81%AE%E3%81%93%E3%81%8E%E3%82%8A-%E9%BB%92%E3%83%81%E3%82%BF%E3%83%B3%E3%82%B3%E3%83%BC%E3%83%86%E3%82%A3%E3%83%B3%E3%82%B0-%E5%AE%89%E5%85%A8%E3%83%AD%E3%83%83%E3%82%AF%E4%BB%98%E3%81%8D-%E6%BB%91%E3%82%8A%E6%AD%A2%E3%82%81%E3%82%B0%E3%83%AA%E3%83%83%E3%83%97/dp/B0FP5K8HJB/ref=zg_bs_g_2039536051_d_sccl_14/357-9393567-9939435?th=1" TargetMode="External"/><Relationship Id="rId15" Type="http://schemas.openxmlformats.org/officeDocument/2006/relationships/hyperlink" Target="https://www.amazon.co.jp/FUNPOLA-%E3%83%99%E3%83%8D%E3%83%81%E3%82%A2%E3%81%AE%E6%98%9F-Booknook-LED%E3%83%A9%E3%82%A4%E3%83%88%E4%BB%98%E3%81%8D-%E5%88%9D%E5%BF%83%E8%80%85%E3%82%84%E4%B8%AD%E5%AD%A6%E7%94%9F%E5%90%91%E3%81%91/dp/B0FZ2QTRH1/ref=zg_bs_g_2189598051_d_sccl_33/355-3582507-3163057?th=1" TargetMode="External"/><Relationship Id="rId14" Type="http://schemas.openxmlformats.org/officeDocument/2006/relationships/hyperlink" Target="https://www.amazon.co.jp/%E3%83%8F%E3%83%8A%E3%83%A4%E3%83%9E-HANAYAMA-%E3%82%AF%E3%83%AA%E3%82%B9%E3%82%BF%E3%83%AB%E3%82%AE%E3%83%A3%E3%83%A9%E3%83%AA%E3%83%BC-%E3%83%8F%E3%83%AD%E3%83%BC%E3%82%AD%E3%83%86%E3%82%A3/dp/B07FGSQT2J/ref=zg_bs_g_2189598051_d_sccl_16/355-3582507-3163057?th=1" TargetMode="External"/><Relationship Id="rId17" Type="http://schemas.openxmlformats.org/officeDocument/2006/relationships/hyperlink" Target="https://www.amazon.co.jp/%E7%9F%B3%E9%8B%B8%E5%B7%A5%E6%A5%AD-%E7%8F%BE%E5%A0%B4%E5%B1%8B-%E3%82%B1%E3%83%BC%E3%82%B9%E4%BB%98%E6%9E%9D%E5%88%87%E9%8B%B8-135mm/dp/B006QH7WI4/ref=zg_bs_g_2039536051_d_sccl_19/357-9393567-9939435?psc=1" TargetMode="External"/><Relationship Id="rId16" Type="http://schemas.openxmlformats.org/officeDocument/2006/relationships/hyperlink" Target="https://www.amazon.co.jp/dp/B0G6MF8H65?tag=webspire_new-22&amp;linkCode=osi&amp;th=1&amp;psc=1" TargetMode="External"/><Relationship Id="rId19" Type="http://schemas.openxmlformats.org/officeDocument/2006/relationships/hyperlink" Target="https://www.amazon.co.jp/%E8%91%AC%E9%80%81%E3%81%AE%E3%83%95%E3%83%AA%E3%83%BC%E3%83%AC%E3%83%B3-%E3%82%AD%E3%83%A3%E3%83%A9%E3%82%AF%E3%82%BF%E3%83%BC%E3%82%B7%E3%83%BC%E3%83%B3%E3%82%BA-%EF%BC%8850%C3%9775cm%EF%BC%89-12-615s-EPOCH/dp/B0CT2FS17Z/ref=pd_day0_d_sccl_2_2/355-3582507-3163057?pd_rd_w=E5TOr&amp;content-id=amzn1.sym.3e742e38-2b5e-4207-a2c9-5d5409d6c433&amp;pf_rd_p=3e742e38-2b5e-4207-a2c9-5d5409d6c433&amp;pf_rd_r=ACGNXG0AFMGZJFF534WD&amp;pd_rd_wg=BwNVH&amp;pd_rd_r=9bde88e4-1f43-4604-8063-bc6090dcd6b9&amp;pd_rd_i=B0D9PXHPBK&amp;th=1" TargetMode="External"/><Relationship Id="rId18" Type="http://schemas.openxmlformats.org/officeDocument/2006/relationships/hyperlink" Target="https://www.amazon.co.jp/%E3%82%B8%E3%82%B0%E3%82%BD%E3%83%BC%E3%83%91%E3%82%BA%E3%83%AB-%E3%82%A2%E3%83%8B%E3%83%A1%E3%80%8C%E9%AC%BC%E6%BB%85%E3%81%AE%E5%88%83%E3%80%8D-vol-1-300%E3%83%94%E3%83%BC%E3%82%B9-300-3186/dp/B0FW4R5PDJ/ref=sr_1_4_sspa?crid=165EDGQ6XKBBE&amp;dib=eyJ2IjoiMSJ9.YiLAjQwn9kFGR8qJjXztVneWwv3vFoPSoZJQY0-BNUxnbvPHxIh4GCoedgDs2HntfZSBIMksl_HVw24kClhiBsg1vn4u01nLnq7oTloP62CAqmTL0it_frAXJ-Ul1aEcy34QXAjDAvRPQjcdgKmCEV9v1vj4NSVdEyHsgbLdoA-5N0S6uzgyiG8amcJ7hP-GFZa3dW3CgTEDFgbm56hQVP_RIRPNQekWnCC76hZaFRzFC5rtm3Jhj_QOYP1gnaoKxQvNFwrmqJ9GRI7oUgMLpzjPyuTWEE3UMHpTY6WVBs8.zVWUgCrcFwEIEQxbUGnEiXlTAmjsDIWCdby-236Jku0&amp;dib_tag=se&amp;keywords=%E9%AC%BC%E7%81%AD%E4%B9%8B%E5%88%83%E6%8B%BC%E5%9B%BE&amp;qid=1768528730&amp;refinements=p_123%3A311243&amp;rnid=23341432051&amp;sprefix=%E9%AC%BC%E7%81%AD%E4%B9%8B%E5%88%83%2Caps%2C234&amp;sr=8-4-spons&amp;sp_csd=d2lkZ2V0TmFtZT1zcF9hdGY&amp;psc=1" TargetMode="External"/><Relationship Id="rId84" Type="http://schemas.openxmlformats.org/officeDocument/2006/relationships/hyperlink" Target="https://www.amazon.co.jp/%E5%A4%A7%E4%BA%94%E9%83%8E-Daigoro-11638-%E6%9C%A8%E5%BD%AB%E3%81%AE%E3%81%BF-9%E3%83%BB15%E3%83%BB24mm/dp/B00GSJJHJW/ref=zg_bs_g_2039562051_d_sccl_12/357-9393567-9939435?psc=1" TargetMode="External"/><Relationship Id="rId83" Type="http://schemas.openxmlformats.org/officeDocument/2006/relationships/hyperlink" Target="https://www.amazon.co.jp/%E6%9C%A8%E5%B7%A5%E7%94%A8%E3%83%8E%E3%83%9F-%E6%97%A5%E6%9B%9C%E5%A4%A7%E5%B7%A5-%E5%A4%A7%E5%B7%A5%E9%81%93%E5%85%B7-%E6%9C%A8%E6%9D%90%E5%8A%A0%E5%B7%A5%E5%B7%A5%E5%85%B7-%E6%9C%A8%E6%9D%90%E3%81%AE%E6%BA%9D%E6%8E%98%E3%82%8A%E3%80%81%E4%BB%95%E4%B8%8A%E3%81%92%E3%80%81%E9%9D%A2%E5%8F%96%E3%82%8A%E3%80%81%E6%9C%A8%E5%BD%AB%E3%82%8A%E3%81%AA%E3%81%A9%E3%81%AB/dp/B098P47829/ref=zg_bs_g_2039562051_d_sccl_7/357-9393567-9939435?psc=1" TargetMode="External"/><Relationship Id="rId86" Type="http://schemas.openxmlformats.org/officeDocument/2006/relationships/hyperlink" Target="https://www.amazon.co.jp/Briskyjp-%E3%83%81%E3%82%BC%E3%83%AB%E3%82%BB%E3%83%83%E3%83%88%E3%80%81PVC%E3%82%B4%E3%83%A0%E3%82%B9%E3%83%AA%E3%83%BC%E3%83%96%E4%BB%98%E3%81%8D%E7%9F%B3%E5%B7%A5%E3%83%81%E3%82%BC%E3%83%AB%E3%80%81%E3%83%95%E3%83%A9%E3%83%83%E3%83%88%E3%83%81%E3%82%BC%E3%83%AB%E3%82%BB%E3%83%A1%E3%83%B3%E3%83%88%E3%83%81%E3%82%BC%E3%83%AB%E3%80%81%E7%9F%B3%E3%83%81%E3%82%BC%E3%83%AB-300mm/dp/B0CD2H5C37/ref=zg_bs_g_2039562051_d_sccl_13/357-9393567-9939435?th=1" TargetMode="External"/><Relationship Id="rId85" Type="http://schemas.openxmlformats.org/officeDocument/2006/relationships/hyperlink" Target="https://store.shopping.yahoo.co.jp/e-tool-shopping/0088381830553.html" TargetMode="External"/><Relationship Id="rId88" Type="http://schemas.openxmlformats.org/officeDocument/2006/relationships/hyperlink" Target="https://www.amazon.co.jp/dp/B0FY2PKJGM?tag=webspire_new-22&amp;linkCode=osi&amp;th=1&amp;psc=1" TargetMode="External"/><Relationship Id="rId87" Type="http://schemas.openxmlformats.org/officeDocument/2006/relationships/hyperlink" Target="https://www.amazon.co.jp/%E9%AB%98%E6%A9%8B-2026%E5%B9%B4-4%E6%9C%88%E5%A7%8B%E3%81%BE%E3%82%8A-5%E5%B9%B4%E5%8D%93%E4%B8%8A%E6%97%A5%E8%AA%8C-No-953/dp/B0G1135XJ5/ref=sr_1_3?crid=3U4STR9NU1HMY&amp;dib=eyJ2IjoiMSJ9.0S5dj6ZzAPxwYPerMRAzX_VHvSCq5MAmNGX7nOFXQFPfYdZwK0Xs8MwYJTT_fjqbY2e8UuiVQDkRWd3SPomPOcacIJhfX6vAzPk0QfMkDqxVB1nVeZR636fnyjKVaom_qg4fmtxqM_RndhcNjgGQXb9hISyeWLInTNnWL0qBOmofgECgGzR4bAFARXaxLLONbit6s7rExvYH4gGxJuIxV3yFvP1NMcMnmJa-J-9bySHGzh4HaUzYYBsNM-2EvgoLG7zL0NdnRb09rBc9bWl7WZENQ2mRPY7Yww19Za5xMJs.EBHdQ1PDgU-SIxauD5l_JeCAlIkIXeB1VSbWhrvztyQ&amp;dib_tag=se&amp;keywords=%E9%AB%98%E6%A9%8B%2B%E6%89%8B%E5%B8%B3%2B2026%E5%B9%B4%2BA5%2B5%E5%B9%B4&amp;qid=1769066271&amp;sprefix=%E9%AB%98%E6%A9%8B%2B%E6%89%8B%E5%B8%B3%2B2026%E5%B9%B4%2Ba5%2B5%E5%B9%B4%2Caps%2C216&amp;sr=8-3&amp;th=1" TargetMode="External"/><Relationship Id="rId89" Type="http://schemas.openxmlformats.org/officeDocument/2006/relationships/hyperlink" Target="https://www.amazon.co.jp/dp/B0G72JZLFF?tag=webspire_new-22&amp;linkCode=osi&amp;th=1&amp;psc=1" TargetMode="External"/><Relationship Id="rId80" Type="http://schemas.openxmlformats.org/officeDocument/2006/relationships/hyperlink" Target="https://www.amazon.co.jp/cocoriko-4%E6%9C%AC%E3%82%BB%E3%83%83%E3%83%88-%E3%82%AF%E3%83%AD%E3%83%A0%E3%83%90%E3%83%8A%E3%82%B8%E3%82%A6%E3%83%A0%E9%8B%BC-%E5%8F%8E%E7%B4%8D%E8%A2%8B%E4%BB%98%E3%81%8D-%E5%B9%B3%E3%83%8E%E3%83%9F4%E6%9C%AC%EF%BC%88%E4%B8%AD%E7%82%AD%E7%B4%A0%E9%8B%BC%EF%BC%89/dp/B0G14DMHV9/ref=zg_bs_g_2039562051_d_sccl_4/357-9393567-9939435?th=1" TargetMode="External"/><Relationship Id="rId82" Type="http://schemas.openxmlformats.org/officeDocument/2006/relationships/hyperlink" Target="https://www.amazon.co.jp/Gunpla-%E3%83%97%E3%83%AC%E3%83%9F%E3%82%A2%E3%83%A0%E6%9C%A8%E8%A3%BD%E5%BD%AB%E5%88%BB%E5%88%80%E3%82%BB%E3%83%83%E3%83%88-%E3%82%BD%E3%83%95%E3%83%88%E3%82%B0%E3%83%AA%E3%83%83%E3%83%97%E3%83%8F%E3%83%B3%E3%83%89%E3%83%AB-W%E3%83%8F%E3%83%B3%E3%83%9E%E3%83%BC-%E3%82%B9%E3%83%81%E3%83%BC%E3%83%AB%E3%82%A8%E3%83%B3%E3%83%89%E3%82%AD%E3%83%A3%E3%83%83%E3%83%97/dp/B07354ZYZN/ref=zg_bs_g_2039562051_d_sccl_6/357-9393567-9939435?th=1" TargetMode="External"/><Relationship Id="rId81" Type="http://schemas.openxmlformats.org/officeDocument/2006/relationships/hyperlink" Target="https://www.amazon.co.jp/Amazon%E3%83%99%E3%83%BC%E3%82%B7%E3%83%83%E3%82%AF-Amazon-Basics-DS-CHAMZ004-%E7%B4%840-6-3-8cm/dp/B07V8X5W5R/ref=zg_bs_g_2039562051_d_sccl_5/357-9393567-9939435?th=1" TargetMode="External"/><Relationship Id="rId73" Type="http://schemas.openxmlformats.org/officeDocument/2006/relationships/hyperlink" Target="https://www.amazon.co.jp/EZARC-%E5%88%87%E3%82%8C%E5%91%B3%E6%8A%9C%E7%BE%A4-%E8%BF%BD%E5%85%A5%E3%81%AE%E3%81%BF-%E3%83%97%E3%83%AD%E4%BB%95%E6%A7%98-%E3%83%96%E3%83%A9%E3%83%83%E3%82%AF%E3%82%AF%E3%83%AB%E3%83%9F/dp/B07HMWMZW1/ref=zg_bs_g_2039562051_d_sccl_2/357-9393567-9939435?th=1" TargetMode="External"/><Relationship Id="rId72" Type="http://schemas.openxmlformats.org/officeDocument/2006/relationships/hyperlink" Target="https://www.amazon.co.jp/%E9%AB%98%E5%84%80-%E3%82%BF%E3%82%AB%E3%82%AE-4907052121508-%E6%9C%A8%E5%B7%A5%E7%94%A8-3%E6%9C%AC%E7%B5%84/dp/B00G8PR66W/ref=zg_bs_g_2039562051_d_sccl_1/357-9393567-9939435?th=1" TargetMode="External"/><Relationship Id="rId75" Type="http://schemas.openxmlformats.org/officeDocument/2006/relationships/hyperlink" Target="https://www.amazon.co.jp/%E6%9C%A8%E5%B7%A5%E5%B9%B3%E3%83%8E%E3%83%9F-4%E6%9C%AC%E3%82%BB%E3%83%83%E3%83%88-%E3%82%AF%E3%83%AD%E3%83%A0%E3%83%90%E3%83%8A%E3%82%B8%E3%82%A6%E3%83%A0%E9%8B%BC-%E3%81%AE%E3%81%BF%E3%82%BB%E3%83%83%E3%83%88-%E5%88%87%E3%82%8C%E5%91%B3%E6%8A%9C%E7%BE%A4/dp/B0DJ3B9VKX/ref=zg_bs_g_2039562051_d_sccl_3/357-9393567-9939435?th=1" TargetMode="External"/><Relationship Id="rId74" Type="http://schemas.openxmlformats.org/officeDocument/2006/relationships/hyperlink" Target="https://www.amazon.co.jp/%E6%9C%A8%E5%B7%A5%E5%B9%B3%E3%83%8E%E3%83%9F-4%E6%9C%AC%E3%82%BB%E3%83%83%E3%83%88-%E3%82%AF%E3%83%AD%E3%83%A0%E3%83%90%E3%83%8A%E3%82%B8%E3%82%A6%E3%83%A0%E9%8B%BC-%E3%81%AE%E3%81%BF%E3%82%BB%E3%83%83%E3%83%88-%E5%88%87%E3%82%8C%E5%91%B3%E6%8A%9C%E7%BE%A4/dp/B0DJ39635R/ref=zg_bs_g_2039562051_d_sccl_3/357-9393567-9939435?th=1" TargetMode="External"/><Relationship Id="rId77" Type="http://schemas.openxmlformats.org/officeDocument/2006/relationships/hyperlink" Target="https://www.amazon.co.jp/%E9%AB%98%E5%84%80-%E3%82%BF%E3%82%AB%E3%82%AE-4907052121508-%E6%9C%A8%E5%B7%A5%E7%94%A8-3%E6%9C%AC%E7%B5%84/dp/B00G8PR5GI/ref=zg_bs_g_2039562051_d_sccl_1/357-9393567-9939435?th=1" TargetMode="External"/><Relationship Id="rId76" Type="http://schemas.openxmlformats.org/officeDocument/2006/relationships/hyperlink" Target="https://www.amazon.co.jp/%E6%9C%A8%E5%B7%A5%E5%B9%B3%E3%83%8E%E3%83%9F-4%E6%9C%AC%E3%82%BB%E3%83%83%E3%83%88-%E3%82%AF%E3%83%AD%E3%83%A0%E3%83%90%E3%83%8A%E3%82%B8%E3%82%A6%E3%83%A0%E9%8B%BC-%E3%81%AE%E3%81%BF%E3%82%BB%E3%83%83%E3%83%88-%E5%88%87%E3%82%8C%E5%91%B3%E6%8A%9C%E7%BE%A4/dp/B0DJ3CCLWH/ref=zg_bs_g_2039562051_d_sccl_3/357-9393567-9939435?th=1" TargetMode="External"/><Relationship Id="rId79" Type="http://schemas.openxmlformats.org/officeDocument/2006/relationships/hyperlink" Target="https://www.amazon.co.jp/cocoriko-4%E6%9C%AC%E3%82%BB%E3%83%83%E3%83%88-%E3%82%AF%E3%83%AD%E3%83%A0%E3%83%90%E3%83%8A%E3%82%B8%E3%82%A6%E3%83%A0%E9%8B%BC-%E5%8F%8E%E7%B4%8D%E8%A2%8B%E4%BB%98%E3%81%8D-%E5%B9%B3%E3%83%8E%E3%83%9F4%E6%9C%AC%EF%BC%88%E4%B8%AD%E7%82%AD%E7%B4%A0%E9%8B%BC%EF%BC%89/dp/B0G14DQF4J/ref=zg_bs_g_2039562051_d_sccl_4/357-9393567-9939435?th=1" TargetMode="External"/><Relationship Id="rId78" Type="http://schemas.openxmlformats.org/officeDocument/2006/relationships/hyperlink" Target="https://www.amazon.co.jp/cocoriko-4%E6%9C%AC%E3%82%BB%E3%83%83%E3%83%88-%E3%82%AF%E3%83%AD%E3%83%A0%E3%83%90%E3%83%8A%E3%82%B8%E3%82%A6%E3%83%A0%E9%8B%BC-%E5%8F%8E%E7%B4%8D%E8%A2%8B%E4%BB%98%E3%81%8D-%E5%B9%B3%E3%83%8E%E3%83%9F4%E6%9C%AC%EF%BC%88%E4%B8%AD%E7%82%AD%E7%B4%A0%E9%8B%BC%EF%BC%89/dp/B0G6YM23QW/ref=zg_bs_g_2039562051_d_sccl_4/357-9393567-9939435?th=1" TargetMode="External"/><Relationship Id="rId71" Type="http://schemas.openxmlformats.org/officeDocument/2006/relationships/hyperlink" Target="https://www.amazon.co.jp/KAKURI-%E5%8F%8E%E7%B4%8D%E3%82%B1%E3%83%BC%E3%82%B9%E4%BB%98-%E5%8F%B3%E6%96%9C%E5%88%833mm-%E5%8F%B3%E6%96%9C%E5%88%837mm-%E4%B8%89%E8%A7%92%E5%88%834mm/dp/B002TYZQT0/ref=sr_1_28?__mk_ja_JP=%E3%82%AB%E3%82%BF%E3%82%AB%E3%83%8A&amp;crid=TI3FUL4TJ9HN&amp;dib=eyJ2IjoiMSJ9.oo7GBs5PmIZpIRaO1j2NG_Cm31fNIVC6wBEGu30TYUWKNuuxJ4FE1P8S6OQb-RR-rhIXwgrZQkCFAV152ILbK193mou2qmf0STZWvnIG95nBSlwlLTCWEVz4u6eraLdhi-VKGJWZafBsNqxoEPeAae-91LSL6e5FCZD3_Wcl4swGZNi4uYBt3qgzcxL9vn5TwoJ1C-JDg2U3yfKuJuLBR4_WIO0yA5os0gO1URLFmYK09Fshns5BRcesUGyEVcI_tRPvw8WcxbiLNPbKEbHHhzmnHPqdh1cZrUJRUCJqwKo.zoKFYMZUoRTO-YR4Q2C9Bd_bQFZhbXObkbOTsMB040U&amp;dib_tag=se&amp;keywords=%E8%A7%92%E5%88%A9&amp;qid=1769043302&amp;sprefix=%E8%A7%92%E5%88%A9%2Caps%2C319&amp;sr=8-28" TargetMode="External"/><Relationship Id="rId70" Type="http://schemas.openxmlformats.org/officeDocument/2006/relationships/hyperlink" Target="https://www.amazon.co.jp/KAKURI-%E5%8F%8E%E7%B4%8D%E3%82%B1%E3%83%BC%E3%82%B9%E4%BB%98-%E5%B9%B3%E9%9D%A2%E3%82%92%E5%89%8A%E3%82%8B-%E3%83%9F%E3%83%8B%E3%82%AB%E3%83%B3%E3%83%8A-41650/dp/B0D5QC1XX6/ref=sr_1_18?__mk_ja_JP=%E3%82%AB%E3%82%BF%E3%82%AB%E3%83%8A&amp;crid=TI3FUL4TJ9HN&amp;dib=eyJ2IjoiMSJ9.oo7GBs5PmIZpIRaO1j2NG_Cm31fNIVC6wBEGu30TYUWKNuuxJ4FE1P8S6OQb-RR-rhIXwgrZQkCFAV152ILbK193mou2qmf0STZWvnIG95nBSlwlLTCWEVz4u6eraLdhi-VKGJWZafBsNqxoEPeAae-91LSL6e5FCZD3_Wcl4swGZNi4uYBt3qgzcxL9vn5TwoJ1C-JDg2U3yfKuJuLBR4_WIO0yA5os0gO1URLFmYK09Fshns5BRcesUGyEVcI_tRPvw8WcxbiLNPbKEbHHhzmnHPqdh1cZrUJRUCJqwKo.zoKFYMZUoRTO-YR4Q2C9Bd_bQFZhbXObkbOTsMB040U&amp;dib_tag=se&amp;keywords=%E8%A7%92%E5%88%A9&amp;qid=1769043302&amp;sprefix=%E8%A7%92%E5%88%A9%2Caps%2C319&amp;sr=8-18&amp;th=1" TargetMode="External"/><Relationship Id="rId62" Type="http://schemas.openxmlformats.org/officeDocument/2006/relationships/hyperlink" Target="https://www.amazon.co.jp/%E5%9D%82%E6%BA%90-%E3%83%8F%E3%83%B3%E3%83%89%E3%82%AF%E3%83%AA%E3%82%A8%E3%83%BC%E3%82%B7%E3%83%A7%E3%83%B3-%E5%8F%A4%E6%B5%81%E3%82%BF%E3%82%A4%E3%83%97-%E3%83%96%E3%83%AB%E3%83%BC-F-170/dp/B001C0CCYE/ref=zg_bs_g_392701011_d_sccl_42/357-9393567-9939435?th=1" TargetMode="External"/><Relationship Id="rId61" Type="http://schemas.openxmlformats.org/officeDocument/2006/relationships/hyperlink" Target="https://www.amazon.co.jp/%E3%83%AA%E3%83%95%E3%82%A1-ReFa-%E3%82%B7%E3%83%A3%E3%83%B3%E3%83%97%E3%83%BC%E3%83%96%E3%83%A9%E3%82%B7%E3%83%9F%E3%83%AB%E3%82%AF-%E3%82%B7%E3%83%AB%E3%83%90%E3%83%BC/dp/B0DVSL5L19/ref=sr_1_18?crid=1C5IMS2RXPXZZ&amp;dib=eyJ2IjoiMSJ9.bHLRuK1C6OSO_r1Ta4tDJEZEskCeUT4eF_-88bNvAo4k-PNxxIeeRMbp-t2D3jko_7_Lh9Aka0LlBxlXNkX4HQcljXYl-Xlm8FQaZE4QZSZNP6PlFUIoHrdQsm-9NfJIBSNYpQ-IziiRDKPBo-O51eJwO-091fuLA9x6ym33GIussQX4IcPLal-Giaw8DIT3V3zp78oDAMmEq5QjzcI9J08jnlXJRATXqwgrjJnJ8FSozIyyuwso420HwU-l3XPtnFZj4G2bbdYt123mrMkZv6PKhmZeSE5GkvVwxeXShkQ.-xO0vTCciwn2jVz6NRXlKnHGMYi6bkfoCMtlzwsDDIQ&amp;dib_tag=se&amp;keywords=refa&amp;qid=1768889468&amp;sprefix=refa%2Caps%2C238&amp;sr=8-18&amp;th=1" TargetMode="External"/><Relationship Id="rId64" Type="http://schemas.openxmlformats.org/officeDocument/2006/relationships/hyperlink" Target="https://www.amazon.co.jp/%E5%B2%A1%E6%81%92-Okatsune-No-108-%E5%89%AA%E5%AE%9A%E7%9A%AE%E3%82%B5%E3%83%83%E3%82%AF-1%E4%B8%81%E5%85%A5/dp/B003EII5ES/ref=zg_bs_g_392701011_d_sccl_44/357-9393567-9939435?th=1" TargetMode="External"/><Relationship Id="rId63" Type="http://schemas.openxmlformats.org/officeDocument/2006/relationships/hyperlink" Target="https://www.amazon.co.jp/%E8%97%A4%E5%85%89-31077-%E6%B1%A0%E3%81%AE%E5%9D%8A%E9%8B%8F-165mm/dp/B00N3TXH96/ref=zg_bs_g_392701011_d_sccl_43/357-9393567-9939435?th=1" TargetMode="External"/><Relationship Id="rId66" Type="http://schemas.openxmlformats.org/officeDocument/2006/relationships/hyperlink" Target="https://www.amazon.co.jp/%E4%BD%BF%E3%81%84%E3%82%84%E3%81%99MELEJIA-%E5%89%AA%E5%AE%9A%E9%8B%8F%E3%81%95%E3%81%B3%E3%81%AA%E3%81%84-%E3%82%B9%E3%83%86%E3%83%B3%E3%83%AC%E3%82%B9%E3%81%AF%E3%81%95%E3%81%BF-%E6%9E%9D%E5%88%87%E3%82%8A%E9%8B%8F%E3%83%BB%E7%94%9F%E3%81%91%E8%8A%B1%E3%83%BB%E5%89%AA%E5%AE%9A%E6%A4%8D%E7%89%A9%E3%83%BB%E9%89%A2%E6%A4%8D%E3%81%88%E3%83%BB%E6%9E%9C%E7%89%A9%E6%91%98%E3%81%BF-%E6%8F%A1%E3%82%8A%E3%82%84%E3%81%99%E3%81%84%E3%83%8F%E3%82%B5%E3%83%9F/dp/B0B2K39PWX/ref=zg_bs_g_392701011_d_sccl_46/357-9393567-9939435?th=1" TargetMode="External"/><Relationship Id="rId65" Type="http://schemas.openxmlformats.org/officeDocument/2006/relationships/hyperlink" Target="https://www.amazon.co.jp/Iwatani-%E3%82%A4%E3%83%AF%E3%82%BF%E3%83%8B-CB-ABR-1-%E7%82%89%E3%81%B0%E3%81%9F%E7%84%BC%E5%99%A8-%E7%82%99%E3%82%8A%E3%82%84/dp/B01IGHIFV4/ref=pd_day0_d_sccl_2_3/355-3582507-3163057?pd_rd_w=1N3cy&amp;content-id=amzn1.sym.3e742e38-2b5e-4207-a2c9-5d5409d6c433&amp;pf_rd_p=3e742e38-2b5e-4207-a2c9-5d5409d6c433&amp;pf_rd_r=WJTB1WKPDNHAT6S63YJ0&amp;pd_rd_wg=7GjEU&amp;pd_rd_r=247d2701-084b-46fb-beaa-f2493724c340&amp;pd_rd_i=B01IGHIFV4&amp;th=1" TargetMode="External"/><Relationship Id="rId68" Type="http://schemas.openxmlformats.org/officeDocument/2006/relationships/hyperlink" Target="https://www.amazon.co.jp/%E3%82%A2%E3%83%AB%E3%82%B9%E3%82%B3%E3%83%BC%E3%83%9D%E3%83%AC%E3%83%BC%E3%82%B7%E3%83%A7%E3%83%B3-V-8PRO-%E3%82%A2%E3%83%AB%E3%82%B9-%E9%AB%98%E7%B4%9A%E5%89%AA%E5%AE%9A%E9%8B%8F/dp/B00CFDW88W/ref=zg_bs_g_392701011_d_sccl_49/357-9393567-9939435?psc=1" TargetMode="External"/><Relationship Id="rId67" Type="http://schemas.openxmlformats.org/officeDocument/2006/relationships/hyperlink" Target="https://www.amazon.co.jp/%E9%AB%98%E5%84%80-GISUKE-%E3%83%87%E3%82%B6%E3%82%A4%E3%83%B3%E9%8B%8F-%E3%83%95%E3%83%83%E7%B4%A0%E3%82%B3%E3%83%BC%E3%83%86%E3%82%A3%E3%83%B3%E3%82%B0%E5%88%83-105mm/dp/B006JZDAZW/ref=zg_bs_g_392701011_d_sccl_47/357-9393567-9939435?th=1" TargetMode="External"/><Relationship Id="rId60" Type="http://schemas.openxmlformats.org/officeDocument/2006/relationships/hyperlink" Target="https://www.amazon.co.jp/%E8%BF%91%E6%AD%A3-CHIKAMASA-B-500SLF-%E3%82%B9%E3%83%86%E3%83%B3%E3%83%AC%E3%82%B9%E3%83%95%E3%83%83%E7%B4%A0%E5%8A%A0%E5%B7%A5%E3%81%B6%E3%81%A9%E3%81%86%E6%89%8B%E5%85%A5%E3%82%8C%E9%8B%8FL%E5%9E%8B/dp/B00JSYLY1I/ref=zg_bs_g_392701011_d_sccl_41/357-9393567-9939435?th=1" TargetMode="External"/><Relationship Id="rId69" Type="http://schemas.openxmlformats.org/officeDocument/2006/relationships/hyperlink" Target="https://www.amazon.co.jp/KAKURI-%E5%8F%8E%E7%B4%8D%E3%82%B1%E3%83%BC%E3%82%B9%E4%BB%98-%E5%B9%B3%E9%9D%A2%E3%82%92%E5%89%8A%E3%82%8B-%E3%83%9F%E3%83%8B%E3%82%AB%E3%83%B3%E3%83%8A-41650/dp/B0D5Q7V64H/ref=sr_1_18?__mk_ja_JP=%E3%82%AB%E3%82%BF%E3%82%AB%E3%83%8A&amp;crid=TI3FUL4TJ9HN&amp;dib=eyJ2IjoiMSJ9.oo7GBs5PmIZpIRaO1j2NG_Cm31fNIVC6wBEGu30TYUWKNuuxJ4FE1P8S6OQb-RR-rhIXwgrZQkCFAV152ILbK193mou2qmf0STZWvnIG95nBSlwlLTCWEVz4u6eraLdhi-VKGJWZafBsNqxoEPeAae-91LSL6e5FCZD3_Wcl4swGZNi4uYBt3qgzcxL9vn5TwoJ1C-JDg2U3yfKuJuLBR4_WIO0yA5os0gO1URLFmYK09Fshns5BRcesUGyEVcI_tRPvw8WcxbiLNPbKEbHHhzmnHPqdh1cZrUJRUCJqwKo.zoKFYMZUoRTO-YR4Q2C9Bd_bQFZhbXObkbOTsMB040U&amp;dib_tag=se&amp;keywords=%E8%A7%92%E5%88%A9&amp;qid=1769043302&amp;sprefix=%E8%A7%92%E5%88%A9%2Caps%2C319&amp;sr=8-18&amp;th=1" TargetMode="External"/><Relationship Id="rId51" Type="http://schemas.openxmlformats.org/officeDocument/2006/relationships/hyperlink" Target="https://www.amazon.co.jp/%E3%80%902026%E4%BA%BA%E6%B0%97%E5%BA%AD%E5%B8%AB%E6%8E%A8%E8%96%A6%E3%80%91%E5%89%AA%E5%AE%9A%E3%83%90%E3%82%B5%E3%83%9F-Pycuse-2%E6%AE%B5%E9%9A%8E%E8%AA%BF%E7%AF%80%E5%8F%AF%E8%83%BD-SK85%E9%AB%98%E7%82%AD%E7%B4%A0%E9%8B%BC-%E8%BB%BD%E9%87%8F%E5%8C%96%E3%82%A2%E3%83%AB%E3%83%9F%E3%83%8F%E3%83%B3%E3%83%89%E3%83%AB/dp/B0FV8Q36L4/ref=zg_bs_g_392701011_d_sccl_4/357-9393567-9939435?th=1" TargetMode="External"/><Relationship Id="rId50" Type="http://schemas.openxmlformats.org/officeDocument/2006/relationships/hyperlink" Target="https://www.amazon.co.jp/dp/B0G7RVNVWL?tag=webspire_new-22&amp;linkCode=osi&amp;th=1" TargetMode="External"/><Relationship Id="rId53" Type="http://schemas.openxmlformats.org/officeDocument/2006/relationships/hyperlink" Target="https://www.amazon.co.jp/SOLODOTO-%E8%BB%BD%E9%87%8F%EF%BC%86%E6%8F%A1%E3%82%8A%E3%82%84%E3%81%99%E3%81%84-%E5%88%87%E3%82%8C%E5%91%B35%E5%80%8D%EF%BD%9C%E6%97%A5%E6%9C%AC%E8%A3%BDSK-5%E9%8B%BC%EF%BC%8C%E8%80%90%E4%B9%85%E6%80%A76%E5%80%8D%EF%BD%9C%E9%8C%86%E3%81%B3%E3%81%AB%E3%81%8F%E3%81%84%EF%BD%9C%E7%96%B2%E3%82%8C%E3%81%AB%E3%81%8F%E3%81%84%E4%BA%BA%E9%96%93%E5%B7%A5%E5%AD%A6%E3%82%A2%E3%83%AB%E3%83%9F%E5%90%88%E9%87%91%E3%82%B0%E3%83%AA%E3%83%83%E3%83%97%EF%BD%9C%E6%9E%9D%E5%88%87%E3%82%8A%E3%83%90%E3%82%B5%E3%83%9F-%E3%81%88%E3%81%A0%E3%81%8D%E3%82%8A%E3%81%B0%E3%81%95%E3%81%BF%EF%BD%9C%E3%82%AE%E3%83%95%E3%83%88%E3%81%AB%E3%82%82-%E4%BA%BA%E6%B0%97%EF%BD%9C2025%E4%BA%BA%E6%B0%97%E5%BA%AD%E5%B8%AB%E3%81%8A%E3%81%99%E3%81%99%E3%82%81%E3%81%AE%E5%89%AA%E5%AE%9A%E3%83%90%E3%82%B5%E3%83%9F/dp/B0FJ8GK33G/ref=zg_bs_g_392701011_d_sccl_6/357-9393567-9939435?psc=1" TargetMode="External"/><Relationship Id="rId52" Type="http://schemas.openxmlformats.org/officeDocument/2006/relationships/hyperlink" Target="https://www.amazon.co.jp/Garage-Brand-Product-GBP-065-%EF%BC%88%E5%A5%B3%E6%80%A7%E5%B0%82%E7%94%A8%EF%BC%89%E3%80%90%E6%A4%8D%E7%89%A9%E8%82%B2%E6%88%90%E3%81%AE%E3%83%97%E3%83%ADW%E7%9B%A3%E4%BF%AE%E3%80%91%E6%8F%A1%E3%82%8A%E3%82%84%E3%81%99%E3%81%8F%E8%BB%BD%E9%87%8F%E3%81%AA%E3%82%BF%E3%82%A4%E3%83%97%EF%BD%98%E3%82%B5%E3%82%AF%E3%82%B5%E3%82%AF%E5%88%87%E3%82%8C%E3%81%BE%E3%81%99%EF%BC%BBGarageBrandProduct%EF%BC%BD/dp/B0DM8NDFLN/ref=zg_bs_g_392701011_d_sccl_5/357-9393567-9939435?psc=1" TargetMode="External"/><Relationship Id="rId55" Type="http://schemas.openxmlformats.org/officeDocument/2006/relationships/hyperlink" Target="https://www.amazon.co.jp/gp/aw/d/B0FKB9SV87/?_encoding=UTF8&amp;pd_rd_plhdr=t&amp;aaxitk=fb499e8e7fc29ab4b05a48bc30d23c4d&amp;hsa_cr_id=4980547050603&amp;qid=1768886676&amp;sr=1-2-ac08f2b1-eb5b-4f1a-aa64-9e8f448c33ed&amp;ref_=sbx_s_sparkle_sbtcd_asin_1_img&amp;pd_rd_w=ZTaL0&amp;content-id=amzn1.sym.f0facdbd-e6c4-4c86-85ba-0b3f009056ed%3Aamzn1.sym.f0facdbd-e6c4-4c86-85ba-0b3f009056ed&amp;pf_rd_p=f0facdbd-e6c4-4c86-85ba-0b3f009056ed&amp;pf_rd_r=G5JY8AEZPEGVY61K6ZBN&amp;pd_rd_wg=uBeh3&amp;pd_rd_r=8420df48-752f-413a-a5b3-dfedafaa66b0&amp;th=1" TargetMode="External"/><Relationship Id="rId54" Type="http://schemas.openxmlformats.org/officeDocument/2006/relationships/hyperlink" Target="https://www.amazon.co.jp/LIVINGO-253mm%E3%82%B9%E3%83%88%E3%83%AD%E3%83%B3%E3%82%B0%E4%B8%87%E8%83%BD%E3%81%AF%E3%81%95%E3%81%BF-%E3%83%81%E3%82%BF%E3%83%B3%E3%82%B3%E3%83%BC%E3%83%86%E3%82%A3%E3%83%B3%E3%82%B0-%E3%82%B9%E3%83%86%E3%83%B3%E3%83%AC%E3%82%B9%E9%8B%BC%E8%A3%BD-%E5%A4%9A%E7%9B%AE%E7%9A%84%E5%88%87%E6%96%AD%E5%B7%A5%E5%85%B7/dp/B088B8JZ6P/ref=zg_bs_g_392701011_d_sccl_7/357-9393567-9939435?th=1" TargetMode="External"/><Relationship Id="rId57" Type="http://schemas.openxmlformats.org/officeDocument/2006/relationships/hyperlink" Target="https://www.amazon.co.jp/%E5%B2%A1%E6%81%92-%E5%89%AA%E5%AE%9A%E9%8B%8F%E3%83%A6%E3%83%8B%E3%83%BC%E3%82%AF-210mm-%E3%83%96%E3%83%AA%E3%82%B9%E3%82%BF%E3%83%BC%E5%85%A5-No-104/dp/B004JKKOZI/ref=zg_bs_g_392701011_d_sccl_17/357-9393567-9939435?th=1" TargetMode="External"/><Relationship Id="rId56" Type="http://schemas.openxmlformats.org/officeDocument/2006/relationships/hyperlink" Target="https://www.amazon.co.jp/%E5%8D%83%E5%90%89-Senkichi-SGP-22R-%E3%83%A9%E3%83%81%E3%82%A7%E3%83%83%E3%83%88%E5%BC%8F-%E5%89%AA%E5%AE%9A%E9%8B%8F/dp/B003UYTDGA/ref=zg_bs_g_392701011_d_sccl_11/357-9393567-9939435?th=1" TargetMode="External"/><Relationship Id="rId59" Type="http://schemas.openxmlformats.org/officeDocument/2006/relationships/hyperlink" Target="https://www.amazon.co.jp/WORKPRO-%E5%89%AA%E5%AE%9A%E3%81%B0%E3%81%95%E3%81%BF-%E5%9C%92%E8%8A%B8%E3%81%B0%E3%81%95%E3%81%BF-%E3%82%B5%E3%82%AF%E3%82%B5%E3%82%AF%E5%88%87%E3%82%8C%E3%82%8B-%E5%AE%89%E5%85%A8%E3%83%AD%E3%83%83%E3%82%AF%E4%BB%98%E3%81%8D/dp/B09ST3DW4K/ref=zg_bs_g_392701011_d_sccl_20/357-9393567-9939435?th=1" TargetMode="External"/><Relationship Id="rId58" Type="http://schemas.openxmlformats.org/officeDocument/2006/relationships/hyperlink" Target="https://www.amazon.co.jp/%E3%82%B5%E3%83%9C%E3%83%86%E3%83%B3-%E3%81%B6%E3%81%A9%E3%81%86%E7%94%A8-%E7%99%BA%E8%8A%BD%E4%BF%83%E9%80%B2-MEBUKI-No-B-11/dp/B01ART0FJ4/ref=zg_bs_g_392701011_d_sccl_18/357-9393567-9939435?psc=1" TargetMode="External"/><Relationship Id="rId107" Type="http://schemas.openxmlformats.org/officeDocument/2006/relationships/hyperlink" Target="https://www.amazon.co.jp/dp/B002GKB5Q0?ref=emc_s_m_5_i_atc&amp;th=1" TargetMode="External"/><Relationship Id="rId228" Type="http://schemas.openxmlformats.org/officeDocument/2006/relationships/hyperlink" Target="https://www.amazon.co.jp/dp/B0D5LV2BSJ?tag=webspire_new-22&amp;linkCode=osi&amp;th=1&amp;psc=1" TargetMode="External"/><Relationship Id="rId349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1N5SSYIH?th=1" TargetMode="External"/><Relationship Id="rId106" Type="http://schemas.openxmlformats.org/officeDocument/2006/relationships/hyperlink" Target="https://www.amazon.co.jp/dp/B00KKMV0P2?ref=emc_s_m_5_i_atc&amp;th=1" TargetMode="External"/><Relationship Id="rId227" Type="http://schemas.openxmlformats.org/officeDocument/2006/relationships/hyperlink" Target="https://www.ebay.com/itm/365076827315?nordt=true&amp;orig_cvip=true&amp;rt=nc" TargetMode="External"/><Relationship Id="rId348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0727YTP6?th=1" TargetMode="External"/><Relationship Id="rId469" Type="http://schemas.openxmlformats.org/officeDocument/2006/relationships/hyperlink" Target="https://www.amazon.co.jp/%E3%82%88%E3%81%A4%E3%81%82%E3%81%BF-%E3%82%A8%E3%83%83%E3%82%AF%E3%82%B9%E3%83%96%E3%83%AC%E3%82%A4%E3%83%89-X-Braid-%E3%82%B9%E3%83%BC%E3%83%91%E3%83%BC-%E3%82%B8%E3%82%B0%E3%83%9E%E3%83%B3/dp/B084ZXZCBX/ref=zg_bs_g_10329362051_d_sccl_32/357-9393567-9939435?th=1" TargetMode="External"/><Relationship Id="rId105" Type="http://schemas.openxmlformats.org/officeDocument/2006/relationships/hyperlink" Target="https://www.amazon.co.jp/CHIIKAWA-2WAY-QUILTING-%E3%81%86%E3%81%95%E3%81%8Ever-%E5%AE%9D%E5%B3%B6%E7%A4%BE%E3%83%96%E3%83%A9%E3%83%B3%E3%83%89%E3%83%A0%E3%83%83%E3%82%AF/dp/4299068947/ref=sr_1_1?crid=3HVI24B1VWE6J&amp;dib=eyJ2IjoiMSJ9.wWVJKotTGM3MIJs-znZMJJYbvbrj4U3uvNeJ8vbATxgdP3yp6iT841_VVvEuw8JLaDYOnxtLFvTBjSgnA1JoMRCp5irEqtDRa8qMKVHZkeo.jdpKNmxcaOQq_iADHmfRbMbrkO807dVuAQlsHiDFRj8&amp;dib_tag=se&amp;keywords=CHIIKAWA+2WAY+QUILTING+BAG&amp;qid=1769494594&amp;sprefix=chiikawa+2way+quilting+bag%2Caps%2C204&amp;sr=8-1" TargetMode="External"/><Relationship Id="rId226" Type="http://schemas.openxmlformats.org/officeDocument/2006/relationships/hyperlink" Target="https://www.amazon.co.jp/dp/B01BL6OA5W?tag=webspire_new-22&amp;linkCode=osi&amp;th=1&amp;psc=1" TargetMode="External"/><Relationship Id="rId347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CRTDSG35?th=1" TargetMode="External"/><Relationship Id="rId468" Type="http://schemas.openxmlformats.org/officeDocument/2006/relationships/hyperlink" Target="https://www.amazon.co.jp/%E3%82%AF%E3%83%AC%E3%83%8F-KUREHA-%E3%82%B7%E3%83%BC%E3%82%AC%E3%83%BC-150m-1-5%E5%8F%B7/dp/B00XKH3PXE/ref=zg_bs_g_10329362051_d_sccl_29/357-9393567-9939435?th=1&amp;psc=1" TargetMode="External"/><Relationship Id="rId104" Type="http://schemas.openxmlformats.org/officeDocument/2006/relationships/hyperlink" Target="https://www.amazon.co.jp/CHIIKAWA-2WAY-QUILTING-%E3%83%8F%E3%83%81%E3%83%AF%E3%83%ACver-%E5%AE%9D%E5%B3%B6%E7%A4%BE%E3%83%96%E3%83%A9%E3%83%B3%E3%83%89%E3%83%A0%E3%83%83%E3%82%AF/dp/4299068920/ref=sr_1_2?crid=3HVI24B1VWE6J&amp;dib=eyJ2IjoiMSJ9.wWVJKotTGM3MIJs-znZMJJYbvbrj4U3uvNeJ8vbATxgdP3yp6iT841_VVvEuw8JLaDYOnxtLFvTBjSgnA1JoMRCp5irEqtDRa8qMKVHZkeo.jdpKNmxcaOQq_iADHmfRbMbrkO807dVuAQlsHiDFRj8&amp;dib_tag=se&amp;keywords=CHIIKAWA+2WAY+QUILTING+BAG&amp;qid=1769494594&amp;sprefix=chiikawa+2way+quilting+bag%2Caps%2C204&amp;sr=8-2" TargetMode="External"/><Relationship Id="rId225" Type="http://schemas.openxmlformats.org/officeDocument/2006/relationships/hyperlink" Target="https://www.ebay.com/itm/317784442767?nordt=true&amp;orig_cvip=true&amp;rt=nc" TargetMode="External"/><Relationship Id="rId346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04KJBEQQ?th=1" TargetMode="External"/><Relationship Id="rId467" Type="http://schemas.openxmlformats.org/officeDocument/2006/relationships/hyperlink" Target="https://www.amazon.co.jp/%E3%83%80%E3%82%A4%E3%83%AF-DAIWA-DURA%E3%82%BB%E3%83%B3%E3%82%B5%E3%83%BCX8-400m-18lb/dp/B07RCNCG31/ref=zg_bs_g_10329362051_d_sccl_27/357-9393567-9939435?th=1&amp;psc=1" TargetMode="External"/><Relationship Id="rId109" Type="http://schemas.openxmlformats.org/officeDocument/2006/relationships/hyperlink" Target="http://atrrd.valuecommerce.com/resolve/7ff403bd2b3?u=https%3A%2F%2Fvcentry3.valuecommerce.ne.jp%2Fcgi-bin%2F2201292%2F2201292_entry.php%3FITRACK_INFO%3D088293490302152107260127080900%26COOKIE_PATH%3D%2F%26COOKIE_DOMAIN%3D.yahoo.co.jp%26VIEW_URL%3Dhttps%253A%252F%252Fshopping.yahoo.co.jp%252F%26REFERRER%3DaHR0cHM6Ly93d3cuc2FpeWFzdW5lLmNvbS8%26COOKIE_EXPIRES%3DThu%2C%252026%2520Feb%25202026%252008%3A09%3A00%2520GMT%26vcptn%3DaXhynAAPI1w7hIyuCooFYQqKB0Le1w%26_v%3D1%26vp%3D882934903%26vs%3D3144472%26vc_url%3Dhttps%253A%252F%252Fstore.shopping.yahoo.co.jp%252Fearth-c%252Fs-b00ki75bb8-20240319.html&amp;iti=088293490302152107260127080900&amp;ct=1769501340992&amp;mid=2201292&amp;cid=aXhynAAPI1w7hIyuCooFYQqKB0Le1w&amp;_v=1&amp;ref=https%3A%2F%2Fwww.saiyasune.com%2F&amp;vf=iVBORw0KGgoAAAANSUhEUgAAAAMAAAADCAYAAABWKLW%2FAAAAM0lEQVR4AQAnANj%2FAgEWAP9pds3%2F9AAN%2FwJbOTsAGxx1ABaK9AACEbtPAIJGigDjdv8AAAAA%2F%2F9s2WGZAAAABklEQVQDAAqiDZxPNKMmAAAAAElFTkSuQmCC" TargetMode="External"/><Relationship Id="rId108" Type="http://schemas.openxmlformats.org/officeDocument/2006/relationships/hyperlink" Target="https://www.amazon.co.jp/dp/B00KI75BB8?ref=emc_s_m_5_i_atc&amp;th=1" TargetMode="External"/><Relationship Id="rId229" Type="http://schemas.openxmlformats.org/officeDocument/2006/relationships/hyperlink" Target="https://www.ebay.com/itm/365099396981?nordt=true&amp;orig_cvip=true&amp;rt=nc" TargetMode="External"/><Relationship Id="rId220" Type="http://schemas.openxmlformats.org/officeDocument/2006/relationships/hyperlink" Target="https://www.amazon.co.jp/dp/B0D5LDWH2J?tag=webspire_new-22&amp;linkCode=osi&amp;th=1&amp;psc=1" TargetMode="External"/><Relationship Id="rId341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0727YTK6?th=1" TargetMode="External"/><Relationship Id="rId462" Type="http://schemas.openxmlformats.org/officeDocument/2006/relationships/hyperlink" Target="https://www.amazon.co.jp/%E3%83%A2%E3%83%BC%E3%83%AA%E3%82%B9-MORRIS-%E3%82%AD%E3%83%A3%E3%82%B9%E3%83%86%E3%82%A3%E3%83%B3%E3%82%B0PE-%E3%83%9E%E3%83%83%E3%82%AF%E3%82%B9%E3%83%91%E3%83%AF%E3%83%BC-%E3%82%B7%E3%83%A7%E3%82%A2%E3%83%9E%E3%82%B9%E3%82%BF%E3%83%BC/dp/B07DVH3WC9/ref=zg_bs_g_10329362051_d_sccl_25/357-9393567-9939435?th=1" TargetMode="External"/><Relationship Id="rId340" Type="http://schemas.openxmlformats.org/officeDocument/2006/relationships/hyperlink" Target="https://www.ebay.com/itm/366103709748?nordt=true&amp;orig_cvip=true&amp;rt=nc" TargetMode="External"/><Relationship Id="rId461" Type="http://schemas.openxmlformats.org/officeDocument/2006/relationships/hyperlink" Target="https://www.amazon.co.jp/%E3%82%B7%E3%83%9E%E3%83%8E-SHIMANO-PE%E3%83%A9%E3%82%A4%E3%83%B3-49-1lb-PL-F74R/dp/B079M54QTB/ref=zg_bs_g_10329362051_d_sccl_23/357-9393567-9939435?th=1" TargetMode="External"/><Relationship Id="rId460" Type="http://schemas.openxmlformats.org/officeDocument/2006/relationships/hyperlink" Target="https://www.amazon.co.jp/%E3%82%B7%E3%83%9E%E3%83%8E-SHIMANO-PE%E3%83%A9%E3%82%A4%E3%83%B3-49-1lb-PL-F74R/dp/B079M54QYQ/ref=zg_bs_g_10329362051_d_sccl_23/357-9393567-9939435?th=1" TargetMode="External"/><Relationship Id="rId103" Type="http://schemas.openxmlformats.org/officeDocument/2006/relationships/hyperlink" Target="https://www.amazon.co.jp/CHIIKAWA-2WAY-QUILTING-%E3%81%A1%E3%81%84%E3%81%8B%E3%82%8Fver-%E5%AE%9D%E5%B3%B6%E7%A4%BE%E3%83%96%E3%83%A9%E3%83%B3%E3%83%89%E3%83%A0%E3%83%83%E3%82%AF/dp/4299068904/ref=sr_1_3?crid=3HVI24B1VWE6J&amp;dib=eyJ2IjoiMSJ9.wWVJKotTGM3MIJs-znZMJJYbvbrj4U3uvNeJ8vbATxgdP3yp6iT841_VVvEuw8JLaDYOnxtLFvTBjSgnA1JoMRCp5irEqtDRa8qMKVHZkeo.jdpKNmxcaOQq_iADHmfRbMbrkO807dVuAQlsHiDFRj8&amp;dib_tag=se&amp;keywords=CHIIKAWA+2WAY+QUILTING+BAG&amp;qid=1769494594&amp;sprefix=chiikawa+2way+quilting+bag%2Caps%2C204&amp;sr=8-3" TargetMode="External"/><Relationship Id="rId224" Type="http://schemas.openxmlformats.org/officeDocument/2006/relationships/hyperlink" Target="https://www.amazon.co.jp/TV%E3%82%A2%E3%83%8B%E3%83%A1%E3%80%8E%E3%82%AC%E3%83%81%E3%82%A2%E3%82%AF%E3%82%BF%E3%80%8F%E3%82%AA%E3%83%AA%E3%82%B8%E3%83%8A%E3%83%AB%E3%82%B5%E3%82%A6%E3%83%B3%E3%83%89%E3%83%88%E3%83%A9%E3%83%83%E3%82%AF-%E5%B2%A9%EF%A8%91%E7%90%A2/dp/B0FV1PH9ZJ" TargetMode="External"/><Relationship Id="rId345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7N7MJ146?th=1" TargetMode="External"/><Relationship Id="rId466" Type="http://schemas.openxmlformats.org/officeDocument/2006/relationships/hyperlink" Target="https://www.amazon.co.jp/%E3%83%80%E3%82%A4%E3%83%AF-DAIWA-DURA%E3%82%BB%E3%83%B3%E3%82%B5%E3%83%BCX8-400m-18lb/dp/B07RCNCG31/ref=zg_bs_g_10329362051_d_sccl_27/357-9393567-9939435?th=1&amp;psc=1" TargetMode="External"/><Relationship Id="rId102" Type="http://schemas.openxmlformats.org/officeDocument/2006/relationships/hyperlink" Target="https://www.ebay.com/itm/297745768436" TargetMode="External"/><Relationship Id="rId223" Type="http://schemas.openxmlformats.org/officeDocument/2006/relationships/hyperlink" Target="https://www.ebay.com/itm/365073295924?nordt=true&amp;orig_cvip=true&amp;rt=nc" TargetMode="External"/><Relationship Id="rId344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7X7ZHFW5?th=1" TargetMode="External"/><Relationship Id="rId465" Type="http://schemas.openxmlformats.org/officeDocument/2006/relationships/hyperlink" Target="https://www.amazon.co.jp/%E3%83%80%E3%82%A4%E3%83%AF-DAIWA-DURA%E3%82%BB%E3%83%B3%E3%82%B5%E3%83%BCX8-400m-18lb/dp/B07RCNCG2Z/ref=zg_bs_g_10329362051_d_sccl_27/357-9393567-9939435?th=1&amp;psc=1" TargetMode="External"/><Relationship Id="rId101" Type="http://schemas.openxmlformats.org/officeDocument/2006/relationships/hyperlink" Target="https://www.ebay.com/itm/156992619790?nordt=true&amp;orig_cvip=true&amp;rt=nc" TargetMode="External"/><Relationship Id="rId222" Type="http://schemas.openxmlformats.org/officeDocument/2006/relationships/hyperlink" Target="https://www.amazon.co.jp/dp/B0D2HHHR85?tag=webspire_new-22&amp;linkCode=osi&amp;th=1&amp;psc=1" TargetMode="External"/><Relationship Id="rId343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9TZDNV5N?th=1" TargetMode="External"/><Relationship Id="rId464" Type="http://schemas.openxmlformats.org/officeDocument/2006/relationships/hyperlink" Target="https://www.ebay.com/itm/186755728060?nordt=true&amp;orig_cvip=true&amp;rt=nc" TargetMode="External"/><Relationship Id="rId100" Type="http://schemas.openxmlformats.org/officeDocument/2006/relationships/hyperlink" Target="https://www.amazon.co.jp/dp/B0DTK8VTQ9?tag=webspire_new-22&amp;linkCode=osi&amp;th=1&amp;psc=1" TargetMode="External"/><Relationship Id="rId221" Type="http://schemas.openxmlformats.org/officeDocument/2006/relationships/hyperlink" Target="https://www.ebay.com/itm/365056637620?nordt=true&amp;orig_cvip=true&amp;rt=nc" TargetMode="External"/><Relationship Id="rId342" Type="http://schemas.openxmlformats.org/officeDocument/2006/relationships/hyperlink" Target="https://www.ebay.com/itm/366149476152?nordt=true&amp;orig_cvip=true&amp;rt=nc" TargetMode="External"/><Relationship Id="rId463" Type="http://schemas.openxmlformats.org/officeDocument/2006/relationships/hyperlink" Target="https://www.amazon.co.jp/%E3%83%9E%E3%82%AD%E3%82%BF-Makita-LS610DZ-%E5%85%85%E9%9B%BB%E5%BC%8F%E3%82%B9%E3%83%A9%E3%82%A4%E3%83%89%E3%83%9E%E3%83%AB%E3%83%8E%E3%82%B3/dp/B07YB74GS1/ref=sr_1_1?crid=IMA55W2IFZCE&amp;dib=eyJ2IjoiMSJ9.7X_D3SpbPT9yqllU0AovWS6CZ0jAr3isBSw-FLl83-bhDM5i9t2AMn_3Dt8OTaVoswcOLFwU3ORSBPCUtG9U17XiEg3OYbLN69RbU1pY4C8wwSnF5-PBtEXLnSKPwgJ_vvQ2kwWBlKEh5UWKOTXqeT_viHhMx9HBuu4E7bUC6axXq8Rh7ypTIquC2zvN9x05m5Vq8RG8XlWjj7vozEBC9g.tvaMsk7W7I1TRDvcXeJO3lSDNEqGLk2GTCQSh7ow6NQ&amp;dib_tag=se&amp;keywords=Makita%2BLS610DZ&amp;qid=1773794814&amp;sprefix=makita%2Bls610dz%2Caps%2C214&amp;sr=8-1&amp;th=1" TargetMode="External"/><Relationship Id="rId217" Type="http://schemas.openxmlformats.org/officeDocument/2006/relationships/hyperlink" Target="https://www.ebay.com/itm/358164689760?nordt=true&amp;orig_cvip=true&amp;rt=nc" TargetMode="External"/><Relationship Id="rId338" Type="http://schemas.openxmlformats.org/officeDocument/2006/relationships/hyperlink" Target="https://www.ebay.com/itm/365927432864?nordt=true&amp;orig_cvip=true&amp;rt=nc" TargetMode="External"/><Relationship Id="rId459" Type="http://schemas.openxmlformats.org/officeDocument/2006/relationships/hyperlink" Target="https://www.amazon.co.jp/%E3%82%B5%E3%83%B3%E3%83%A9%E3%82%A4%E3%83%B3-SUNLINE-%E3%82%AA%E3%83%BC%E3%83%AB%E3%83%9E%E3%82%A4%E3%83%88-150m-%E3%82%AA%E3%83%AC%E3%83%B3%E3%82%B8/dp/B0BW43JVWT/ref=zg_bs_g_10329362051_d_sccl_22/357-9393567-9939435?th=1" TargetMode="External"/><Relationship Id="rId216" Type="http://schemas.openxmlformats.org/officeDocument/2006/relationships/hyperlink" Target="https://www.amazon.co.jp/dp/B0G8Z6GMM2?tag=webspire_new-22&amp;linkCode=osi&amp;th=1&amp;psc=1" TargetMode="External"/><Relationship Id="rId337" Type="http://schemas.openxmlformats.org/officeDocument/2006/relationships/hyperlink" Target="https://www.amazon.co.jp/%E3%82%B7%E3%83%AB%E3%83%90%E3%83%8B%E3%82%A2%E3%83%95%E3%82%A1%E3%83%9F%E3%83%AA%E3%83%BC-%E3%83%80%E3%83%AB%E3%83%A1%E3%82%B7%E3%82%A2%E3%83%B3%E3%83%95%E3%82%A1%E3%83%9F%E3%83%AA%E3%83%BC-Sylvanian-Families-EPOCH/dp/B0F9926B3Q?th=1" TargetMode="External"/><Relationship Id="rId458" Type="http://schemas.openxmlformats.org/officeDocument/2006/relationships/hyperlink" Target="https://www.amazon.co.jp/%E3%82%B5%E3%83%B3%E3%83%A9%E3%82%A4%E3%83%B3-SUNLINE-%E3%82%AA%E3%83%BC%E3%83%AB%E3%83%9E%E3%82%A4%E3%83%88-150m-%E3%82%AA%E3%83%AC%E3%83%B3%E3%82%B8/dp/B0DT45Q6CQ/ref=zg_bs_g_10329362051_d_sccl_22/357-9393567-9939435?th=1" TargetMode="External"/><Relationship Id="rId215" Type="http://schemas.openxmlformats.org/officeDocument/2006/relationships/hyperlink" Target="https://www.ebay.com/itm/306677180874?nordt=true&amp;orig_cvip=true&amp;rt=nc" TargetMode="External"/><Relationship Id="rId336" Type="http://schemas.openxmlformats.org/officeDocument/2006/relationships/hyperlink" Target="https://www.ebay.com/itm/267367735008?nordt=true&amp;orig_cvip=true&amp;rt=nc" TargetMode="External"/><Relationship Id="rId457" Type="http://schemas.openxmlformats.org/officeDocument/2006/relationships/hyperlink" Target="https://www.amazon.co.jp/%E3%82%B5%E3%83%B3%E3%83%A9%E3%82%A4%E3%83%B3-SUNLINE-%E3%82%AA%E3%83%BC%E3%83%AB%E3%83%9E%E3%82%A4%E3%83%88-150m-%E3%82%AA%E3%83%AC%E3%83%B3%E3%82%B8/dp/B0BW41CYVM/ref=zg_bs_g_10329362051_d_sccl_22/357-9393567-9939435?th=1" TargetMode="External"/><Relationship Id="rId214" Type="http://schemas.openxmlformats.org/officeDocument/2006/relationships/hyperlink" Target="https://www.amazon.co.jp/Viagr-Aboys-Viagra-Boys/dp/B0DTKCJP6B" TargetMode="External"/><Relationship Id="rId335" Type="http://schemas.openxmlformats.org/officeDocument/2006/relationships/hyperlink" Target="https://www.amazon.co.jp/-/en/EPOCH-Sylvanian-FS-62-Certified-Dollhouse/dp/B0F997N43C?th=1" TargetMode="External"/><Relationship Id="rId456" Type="http://schemas.openxmlformats.org/officeDocument/2006/relationships/hyperlink" Target="https://www.ebay.com/itm/405240432423?nordt=true&amp;orig_cvip=true&amp;rt=nc" TargetMode="External"/><Relationship Id="rId219" Type="http://schemas.openxmlformats.org/officeDocument/2006/relationships/hyperlink" Target="https://www.ebay.com/itm/306754205044?nordt=true&amp;orig_cvip=true&amp;rt=nc" TargetMode="External"/><Relationship Id="rId218" Type="http://schemas.openxmlformats.org/officeDocument/2006/relationships/hyperlink" Target="https://www.amazon.co.jp/dp/B0G43B6PN4?tag=webspire_new-22&amp;linkCode=osi&amp;th=1&amp;psc=1" TargetMode="External"/><Relationship Id="rId339" Type="http://schemas.openxmlformats.org/officeDocument/2006/relationships/hyperlink" Target="https://www.amazon.co.jp/%E3%82%A8%E3%83%9D%E3%83%83%E3%82%AF-EPOCH-FS-32-%E3%82%B7%E3%83%AB%E3%83%90%E3%83%8B%E3%82%A2%E3%83%95%E3%82%A1%E3%83%9F%E3%83%AA%E3%83%BC-%E3%82%AB%E3%83%AF%E3%82%A6%E3%82%BD%E3%83%95%E3%82%A1%E3%83%9F%E3%83%AA%E3%83%BC/dp/B0799JJJSS?th=1" TargetMode="External"/><Relationship Id="rId330" Type="http://schemas.openxmlformats.org/officeDocument/2006/relationships/hyperlink" Target="https://www.ebay.com/itm/115923817164?nordt=true&amp;orig_cvip=true&amp;rt=nc" TargetMode="External"/><Relationship Id="rId451" Type="http://schemas.openxmlformats.org/officeDocument/2006/relationships/hyperlink" Target="https://www.amazon.co.jp/%E3%83%80%E3%82%A4%E3%83%AF-DAIWA-PE%E3%83%A9%E3%82%A4%E3%83%B3-PE%E3%83%87%E3%83%A5%E3%83%A9%E3%82%BB%E3%83%B3%E3%82%B5%E3%83%BCX8-%E3%83%9E%E3%83%AB%E3%83%81%E3%82%AB%E3%83%A9%E3%83%BC/dp/B08HGVQ1SH/ref=zg_bs_g_10329362051_d_sccl_15/357-9393567-9939435?th=1" TargetMode="External"/><Relationship Id="rId450" Type="http://schemas.openxmlformats.org/officeDocument/2006/relationships/hyperlink" Target="https://www.amazon.co.jp/%E3%82%B7%E3%83%9E%E3%83%8E-SHIMANO-PE%E3%83%A9%E3%82%A4%E3%83%B3-22-4lb-PL-F78R/dp/B079MJ9WG4/ref=zg_bs_g_10329362051_d_sccl_18/357-9393567-9939435?th=1" TargetMode="External"/><Relationship Id="rId213" Type="http://schemas.openxmlformats.org/officeDocument/2006/relationships/hyperlink" Target="https://www.ebay.com/itm/177318387881?nordt=true&amp;orig_cvip=true&amp;rt=nc" TargetMode="External"/><Relationship Id="rId334" Type="http://schemas.openxmlformats.org/officeDocument/2006/relationships/hyperlink" Target="https://www.ebay.com/itm/227053677863?nordt=true&amp;orig_cvip=true&amp;rt=nc" TargetMode="External"/><Relationship Id="rId455" Type="http://schemas.openxmlformats.org/officeDocument/2006/relationships/hyperlink" Target="https://www.amazon.co.jp/%E3%83%9E%E3%82%AD%E3%82%BF-Makita-DC40RA-%E5%85%85%E9%9B%BB%E5%99%A8DC40RA-40Vmax%E7%94%A8/dp/B0816M5HKP/ref=sr_1_8?crid=2QSHKIGTLFCK1&amp;dib=eyJ2IjoiMSJ9.4n4bSN78OpixJiOhsg9Igbj490-lWhQ256gPm-MydQSL08XeZqH1tSBy0qCtg4qtd61Igj9rBRWUARZxfgp7lXkJxbr-7G_eLshrIh49nFZYl_xQuuZr_foAGf-MsP2R_emqGfp5yaxB9vN6gMlN_bceyvdqSBP6T5ejG9jLIgmovBwNQAAdGnyLxF8vjIwsmpDJm212naafZ_yT7smnGLiEpsQG-kpv8synkHgwx2T2Fo7xEXkPut1KcA7RhvyLTMWpZOtbyMRAe-SOKrHLSOnsjbH6_1LVCR_gYiWGEl4.e2MT5rK1E3jSoDDgOyHrbyp17Bxw0Z_HOyKqMFnTD6M&amp;dib_tag=se&amp;keywords=makita%2B40v&amp;qid=1773384329&amp;sprefix=makita%2B40v%2Caps%2C281&amp;sr=8-8&amp;th=1" TargetMode="External"/><Relationship Id="rId212" Type="http://schemas.openxmlformats.org/officeDocument/2006/relationships/hyperlink" Target="https://www.amazon.co.jp/dp/B00005L8TO?tag=webspire_new-22&amp;linkCode=osi&amp;th=1&amp;psc=1" TargetMode="External"/><Relationship Id="rId333" Type="http://schemas.openxmlformats.org/officeDocument/2006/relationships/hyperlink" Target="https://www.amazon.co.jp/%E3%82%A8%E3%83%9D%E3%83%83%E3%82%AF-EPOCH-%E3%82%B7%E3%83%AB%E3%83%90%E3%83%8B%E3%82%A2%E3%83%95%E3%82%A1%E3%83%9F%E3%83%AA%E3%83%BC-%E3%82%B1%E3%83%BC%E3%82%AD%E3%81%AE%E3%81%8F%E3%82%8B%E3%81%BE-F%E3%83%BC09/dp/B002EHCX02" TargetMode="External"/><Relationship Id="rId454" Type="http://schemas.openxmlformats.org/officeDocument/2006/relationships/hyperlink" Target="https://www.amazon.co.jp/%E3%83%80%E3%82%A4%E3%83%AF-DAIWA-PE%E3%83%A9%E3%82%A4%E3%83%B3-PE%E3%83%87%E3%83%A5%E3%83%A9%E3%82%BB%E3%83%B3%E3%82%B5%E3%83%BCX4-%E3%83%9E%E3%83%AB%E3%83%81%E3%82%AB%E3%83%A9%E3%83%BC/dp/B08HGZ7BXZ/ref=zg_bs_g_10329362051_d_sccl_16/357-9393567-9939435?th=1&amp;psc=1" TargetMode="External"/><Relationship Id="rId211" Type="http://schemas.openxmlformats.org/officeDocument/2006/relationships/hyperlink" Target="https://www.amazon.co.jp/dp/B0G2VD9PT1?tag=webspire_new-22&amp;linkCode=osi&amp;th=1&amp;psc=1" TargetMode="External"/><Relationship Id="rId332" Type="http://schemas.openxmlformats.org/officeDocument/2006/relationships/hyperlink" Target="https://www.ebay.com/itm/205380437731?nordt=true&amp;orig_cvip=true&amp;rt=nc" TargetMode="External"/><Relationship Id="rId453" Type="http://schemas.openxmlformats.org/officeDocument/2006/relationships/hyperlink" Target="https://www.amazon.co.jp/%E3%83%80%E3%82%A4%E3%83%AF-DAIWA-PE%E3%83%A9%E3%82%A4%E3%83%B3-PE%E3%83%87%E3%83%A5%E3%83%A9%E3%82%BB%E3%83%B3%E3%82%B5%E3%83%BCX4-%E3%83%9E%E3%83%AB%E3%83%81%E3%82%AB%E3%83%A9%E3%83%BC/dp/B08HGRX2TV/ref=zg_bs_g_10329362051_d_sccl_16/357-9393567-9939435?th=1&amp;psc=1" TargetMode="External"/><Relationship Id="rId210" Type="http://schemas.openxmlformats.org/officeDocument/2006/relationships/hyperlink" Target="https://www.amazon.co.jp/dp/B0FVSR4GDN/?_encoding=UTF8&amp;pd_rd_i=B0FVSR4GDN&amp;ref_=sbx_be_s_sparkle_ssd_tt&amp;pd_rd_w=Rpv21&amp;content-id=amzn1.sym.51f2c2f4-2f75-4ab8-99d1-7aa5a1f5c6e8&amp;pf_rd_p=51f2c2f4-2f75-4ab8-99d1-7aa5a1f5c6e8&amp;pf_rd_r=S3B6QXJWJSYKA57CPJE2&amp;pd_rd_wg=RxUbk&amp;pd_rd_r=f2088a56-8a80-4a75-8af5-a92d7c3197df&amp;th=1" TargetMode="External"/><Relationship Id="rId331" Type="http://schemas.openxmlformats.org/officeDocument/2006/relationships/hyperlink" Target="https://www.amazon.co.jp/%E3%82%A8%E3%83%9D%E3%83%83%E3%82%AF-EPOCH-%E3%82%B7%E3%83%AB%E3%83%90%E3%83%8B%E3%82%A2%E3%83%95%E3%82%A1%E3%83%9F%E3%83%AA%E3%83%BC-%E3%83%9A%E3%83%AB%E3%82%B7%E3%83%A3%E3%83%8D%E3%82%B3%E3%81%AE%E3%81%BF%E3%81%A4%E3%81%94%E3%81%A1%E3%82%83%E3%82%93-%E3%83%8B-109/dp/B07LHHLYFL?th=1" TargetMode="External"/><Relationship Id="rId452" Type="http://schemas.openxmlformats.org/officeDocument/2006/relationships/hyperlink" Target="https://www.amazon.co.jp/%E3%83%80%E3%82%A4%E3%83%AF-DAIWA-PE%E3%83%A9%E3%82%A4%E3%83%B3-PE%E3%83%87%E3%83%A5%E3%83%A9%E3%82%BB%E3%83%B3%E3%82%B5%E3%83%BCX8-%E3%83%9E%E3%83%AB%E3%83%81%E3%82%AB%E3%83%A9%E3%83%BC/dp/B08HGVQ1SH/ref=zg_bs_g_10329362051_d_sccl_15/357-9393567-9939435?th=1" TargetMode="External"/><Relationship Id="rId370" Type="http://schemas.openxmlformats.org/officeDocument/2006/relationships/hyperlink" Target="https://store.shopping.yahoo.co.jp/hmv/16595936.html?sc_e=afvc_shp_3144472" TargetMode="External"/><Relationship Id="rId490" Type="http://schemas.openxmlformats.org/officeDocument/2006/relationships/vmlDrawing" Target="../drawings/vmlDrawing1.vml"/><Relationship Id="rId129" Type="http://schemas.openxmlformats.org/officeDocument/2006/relationships/hyperlink" Target="https://amzn.asia/d/0P17pL5" TargetMode="External"/><Relationship Id="rId128" Type="http://schemas.openxmlformats.org/officeDocument/2006/relationships/hyperlink" Target="https://amzn.asia/d/0BeG1Wa" TargetMode="External"/><Relationship Id="rId249" Type="http://schemas.openxmlformats.org/officeDocument/2006/relationships/hyperlink" Target="https://www.amazon.co.jp/dp/B0CB67K1GH?tag=webspire_new-22&amp;linkCode=osi&amp;th=1&amp;psc=1" TargetMode="External"/><Relationship Id="rId127" Type="http://schemas.openxmlformats.org/officeDocument/2006/relationships/hyperlink" Target="https://amzn.asia/d/bsck7y9" TargetMode="External"/><Relationship Id="rId248" Type="http://schemas.openxmlformats.org/officeDocument/2006/relationships/hyperlink" Target="https://www.ebay.com/itm/365697706004?nordt=true&amp;orig_cvip=true&amp;rt=nc" TargetMode="External"/><Relationship Id="rId369" Type="http://schemas.openxmlformats.org/officeDocument/2006/relationships/hyperlink" Target="https://www.ebay.com/itm/145127004411?nordt=true&amp;orig_cvip=true&amp;rt=nc" TargetMode="External"/><Relationship Id="rId126" Type="http://schemas.openxmlformats.org/officeDocument/2006/relationships/hyperlink" Target="https://amzn.asia/d/fcucpjj" TargetMode="External"/><Relationship Id="rId247" Type="http://schemas.openxmlformats.org/officeDocument/2006/relationships/hyperlink" Target="https://www.amazon.co.jp/dp/B0D4YSFSW5?tag=webspire_new-22&amp;linkCode=osi&amp;th=1&amp;psc=1" TargetMode="External"/><Relationship Id="rId368" Type="http://schemas.openxmlformats.org/officeDocument/2006/relationships/hyperlink" Target="https://www.amazon.co.jp/dp/B00CCTU87M?tag=webspire_new-22&amp;linkCode=osi&amp;th=1&amp;psc=1" TargetMode="External"/><Relationship Id="rId489" Type="http://schemas.openxmlformats.org/officeDocument/2006/relationships/drawing" Target="../drawings/drawing1.xml"/><Relationship Id="rId121" Type="http://schemas.openxmlformats.org/officeDocument/2006/relationships/hyperlink" Target="https://www.ebay.com/itm/357922847378?nordt=true&amp;orig_cvip=true&amp;rt=nc" TargetMode="External"/><Relationship Id="rId242" Type="http://schemas.openxmlformats.org/officeDocument/2006/relationships/hyperlink" Target="https://www.ebay.com/itm/146934677968?nordt=true&amp;orig_cvip=true&amp;rt=nc" TargetMode="External"/><Relationship Id="rId363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CRTBRWTP?th=1" TargetMode="External"/><Relationship Id="rId484" Type="http://schemas.openxmlformats.org/officeDocument/2006/relationships/hyperlink" Target="https://www.amazon.co.jp/VARIVAS-%E3%83%90%E3%83%AA%E3%83%90%E3%82%B9-%E3%82%B9%E3%83%BC%E3%83%91%E3%83%BC%E3%83%88%E3%83%A9%E3%82%A6%E3%83%88-%E3%82%A2%E3%83%89%E3%83%90%E3%83%B3%E3%82%B9-%E3%83%9E%E3%83%83%E3%82%AF%E3%82%B9%E3%83%91%E3%83%AF%E3%83%BCPE/dp/B07MZNJQFN/ref=zg_bs_g_10329362051_d_sccl_49/357-9393567-9939435?th=1" TargetMode="External"/><Relationship Id="rId120" Type="http://schemas.openxmlformats.org/officeDocument/2006/relationships/hyperlink" Target="https://www.amazon.co.jp/dp/B0F3CRHZHQ?tag=webspire_new-22&amp;linkCode=osi&amp;th=1&amp;psc=1" TargetMode="External"/><Relationship Id="rId241" Type="http://schemas.openxmlformats.org/officeDocument/2006/relationships/hyperlink" Target="https://www.amazon.co.jp/BLEACH-SOLID-AND-SOULS-%E5%8D%AF%E3%83%8E%E8%8A%B1%E7%83%88/dp/B0BGX2LLCF" TargetMode="External"/><Relationship Id="rId362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91XZ6MCJ?th=1" TargetMode="External"/><Relationship Id="rId483" Type="http://schemas.openxmlformats.org/officeDocument/2006/relationships/hyperlink" Target="https://www.amazon.co.jp/%E3%83%90%E3%83%AA%E3%83%90%E3%82%B9-VARIVAS-%E3%82%A8%E3%82%AE%E3%83%B3%E3%82%B0-%E3%83%9E%E3%83%83%E3%82%AF%E3%82%B9%E3%83%91%E3%83%AF%E3%83%BCPE-150m/dp/B07GFDPPGR/ref=zg_bs_g_10329362051_d_sccl_48/357-9393567-9939435?th=1&amp;psc=1" TargetMode="External"/><Relationship Id="rId240" Type="http://schemas.openxmlformats.org/officeDocument/2006/relationships/hyperlink" Target="https://www.amazon.co.jp/dp/B0BLFDLTHR?tag=webspire_new-22&amp;linkCode=osi&amp;th=1&amp;psc=1" TargetMode="External"/><Relationship Id="rId361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7HDTTXWR?th=1" TargetMode="External"/><Relationship Id="rId482" Type="http://schemas.openxmlformats.org/officeDocument/2006/relationships/hyperlink" Target="https://www.amazon.co.jp/DUEL-%E3%83%87%E3%83%A5%E3%82%A8%E3%83%AB-%E3%82%A2%E3%82%B8%E3%83%B3%E3%82%B0-150m-0-3%E5%8F%B7/dp/B0BSRRWSG9/ref=zg_bs_g_10329362051_d_sccl_47/357-9393567-9939435?th=1" TargetMode="External"/><Relationship Id="rId360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7LH9L2T3?th=1" TargetMode="External"/><Relationship Id="rId481" Type="http://schemas.openxmlformats.org/officeDocument/2006/relationships/hyperlink" Target="https://www.amazon.co.jp/%E3%82%B7%E3%83%9E%E3%83%8E-SHIMANO-PE%E3%83%A9%E3%82%A4%E3%83%B3-10m%C3%975%E3%82%AB%E3%83%A9%E3%83%BC-LD-E61T/dp/B0865XTS8D/ref=zg_bs_g_10329362051_d_sccl_46/357-9393567-9939435?th=1" TargetMode="External"/><Relationship Id="rId125" Type="http://schemas.openxmlformats.org/officeDocument/2006/relationships/hyperlink" Target="https://amzn.asia/d/0BVGpcQ" TargetMode="External"/><Relationship Id="rId246" Type="http://schemas.openxmlformats.org/officeDocument/2006/relationships/hyperlink" Target="https://www.amazon.co.jp/-/en/Banpresto-BLEACH-Relax-Shibu-Yaichi/dp/B0BXB97C4V" TargetMode="External"/><Relationship Id="rId367" Type="http://schemas.openxmlformats.org/officeDocument/2006/relationships/hyperlink" Target="https://www.amazon.co.jp/%E3%82%BF%E3%82%AB%E3%83%A9%E3%83%88%E3%83%9F%E3%83%BC-TAKARA-TOMY-%E3%83%9D%E3%82%B1%E3%83%83%E3%83%88%E3%83%A2%E3%83%B3%E3%82%B9%E3%82%BF%E3%83%BC-%E3%82%AF%E3%83%AC%E3%83%BC%E3%83%B3%E3%82%B2%E3%83%BC%E3%83%A0/dp/B0C3G5873Y/ref=bmx_dp_d_sccl_1_7/357-9393567-9939435?pd_rd_w=k9RX7&amp;content-id=amzn1.sym.e5933a3b-74ce-430b-bb03-4b81abd9e2c4&amp;pf_rd_p=e5933a3b-74ce-430b-bb03-4b81abd9e2c4&amp;pf_rd_r=RWQ6APWV3YS8AH0JSRFB&amp;pd_rd_wg=SJ70Q&amp;pd_rd_r=17b27cba-961f-461e-a595-63ff49b7dc93&amp;pd_rd_i=B0C3G5873Y&amp;psc=1" TargetMode="External"/><Relationship Id="rId488" Type="http://schemas.openxmlformats.org/officeDocument/2006/relationships/hyperlink" Target="https://www.ebay.com/itm/137036988879?nordt=true&amp;orig_cvip=true&amp;rt=nc" TargetMode="External"/><Relationship Id="rId124" Type="http://schemas.openxmlformats.org/officeDocument/2006/relationships/hyperlink" Target="https://amzn.asia/d/iS1NRf9" TargetMode="External"/><Relationship Id="rId245" Type="http://schemas.openxmlformats.org/officeDocument/2006/relationships/hyperlink" Target="https://www.amazon.co.jp/BLEACH-Stirring-%E5%B0%8F%E7%89%A9%E5%85%A5%E3%82%8C%E3%83%95%E3%82%A3%E3%82%AE%E3%83%A5%E3%82%A2-MASTERELIVE-COLLECTION/dp/B0FLY8K54K" TargetMode="External"/><Relationship Id="rId366" Type="http://schemas.openxmlformats.org/officeDocument/2006/relationships/hyperlink" Target="https://www.amazon.co.jp/%E3%82%BF%E3%82%AB%E3%83%A9%E3%83%88%E3%83%9F%E3%83%BC-TAKARA-TOMY-%E3%83%9D%E3%82%B1%E3%83%83%E3%83%88%E3%83%A2%E3%83%B3%E3%82%B9%E3%82%BF%E3%83%BC-MS-01/dp/B0C6DNWHGJ/ref=bmx_dp_d_sccl_1_3/357-9393567-9939435?pd_rd_w=aPWtM&amp;content-id=amzn1.sym.e5933a3b-74ce-430b-bb03-4b81abd9e2c4&amp;pf_rd_p=e5933a3b-74ce-430b-bb03-4b81abd9e2c4&amp;pf_rd_r=33MHGXN75TDYXX3M8TW0&amp;pd_rd_wg=3MZJz&amp;pd_rd_r=83f00e84-a2bc-45f7-bd0d-b7bab25291ec&amp;pd_rd_i=B0C6DNWHGJ&amp;psc=1" TargetMode="External"/><Relationship Id="rId487" Type="http://schemas.openxmlformats.org/officeDocument/2006/relationships/hyperlink" Target="https://www.amazon.co.jp/dp/B00VF1X6R2?tag=webspire_new-22&amp;linkCode=osi&amp;th=1" TargetMode="External"/><Relationship Id="rId123" Type="http://schemas.openxmlformats.org/officeDocument/2006/relationships/hyperlink" Target="https://www.ebay.com/itm/389417119345?nordt=true&amp;orig_cvip=true&amp;rt=nc" TargetMode="External"/><Relationship Id="rId244" Type="http://schemas.openxmlformats.org/officeDocument/2006/relationships/hyperlink" Target="https://www.ebay.com/itm/146934677968?nordt=true&amp;orig_cvip=true&amp;rt=nc" TargetMode="External"/><Relationship Id="rId365" Type="http://schemas.openxmlformats.org/officeDocument/2006/relationships/hyperlink" Target="https://www.amazon.co.jp/dp/B0DF73YCQQ?tag=webspire_new-22&amp;linkCode=osi&amp;th=1&amp;psc=1" TargetMode="External"/><Relationship Id="rId486" Type="http://schemas.openxmlformats.org/officeDocument/2006/relationships/hyperlink" Target="https://www.ebay.com/itm/176285237113?nordt=true&amp;orig_cvip=true&amp;rt=nc" TargetMode="External"/><Relationship Id="rId122" Type="http://schemas.openxmlformats.org/officeDocument/2006/relationships/hyperlink" Target="https://www.amazon.co.jp/dp/B0G23FMWNK?tag=webspire_new-22&amp;linkCode=osi&amp;th=1" TargetMode="External"/><Relationship Id="rId243" Type="http://schemas.openxmlformats.org/officeDocument/2006/relationships/hyperlink" Target="https://www.amazon.co.jp/BLEACH-SOLID-AND-SOULS-%E6%9B%B4%E6%9C%A8%E5%89%A3%E5%85%AB/dp/B0B8X3DKKS" TargetMode="External"/><Relationship Id="rId364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BSVXH77X?th=1" TargetMode="External"/><Relationship Id="rId485" Type="http://schemas.openxmlformats.org/officeDocument/2006/relationships/hyperlink" Target="https://store.shopping.yahoo.co.jp/toolstakumi2/jn3201.html" TargetMode="External"/><Relationship Id="rId95" Type="http://schemas.openxmlformats.org/officeDocument/2006/relationships/hyperlink" Target="https://www.amazon.co.jp/dp/B0G5X46GHJ?tag=webspire_new-22&amp;linkCode=osi&amp;th=1&amp;psc=1" TargetMode="External"/><Relationship Id="rId94" Type="http://schemas.openxmlformats.org/officeDocument/2006/relationships/hyperlink" Target="https://www.amazon.co.jp/dp/B0FZSZF7Y2?tag=webspire_new-22&amp;linkCode=osi&amp;th=1&amp;psc=1" TargetMode="External"/><Relationship Id="rId97" Type="http://schemas.openxmlformats.org/officeDocument/2006/relationships/hyperlink" Target="https://www.amazon.co.jp/dp/B01MRKSQVD?tag=webspire_new-22&amp;linkCode=osi&amp;th=1&amp;psc=1" TargetMode="External"/><Relationship Id="rId96" Type="http://schemas.openxmlformats.org/officeDocument/2006/relationships/hyperlink" Target="https://www.amazon.co.jp/dp/B0CS913VBL?tag=webspire_new-22&amp;linkCode=osi&amp;th=1&amp;psc=1" TargetMode="External"/><Relationship Id="rId99" Type="http://schemas.openxmlformats.org/officeDocument/2006/relationships/hyperlink" Target="https://item.rakuten.co.jp/guruguru2/uicy-79717/?scid=af_pc_etc&amp;sc2id=af_106_0_10002231&amp;af_tr_src=i2i_bh__g5_g4&amp;af_tct=t_0_top" TargetMode="External"/><Relationship Id="rId480" Type="http://schemas.openxmlformats.org/officeDocument/2006/relationships/hyperlink" Target="https://www.amazon.co.jp/%E3%82%B7%E3%83%9E%E3%83%8E-SHIMANO-%E3%82%B5%E3%82%A4%E3%83%88%E3%83%A9%E3%82%A4%E3%83%A0-23-4lb-PL-M62R/dp/B079M5QTDF/ref=zg_bs_g_10329362051_d_sccl_43/357-9393567-9939435?th=1&amp;psc=1" TargetMode="External"/><Relationship Id="rId98" Type="http://schemas.openxmlformats.org/officeDocument/2006/relationships/hyperlink" Target="https://www.amazon.co.jp/%E5%8A%87%E5%A0%B4%E3%82%A2%E3%83%8B%E3%83%A1-%E3%83%AB%E3%83%83%E3%82%AF%E3%83%90%E3%83%83%E3%82%AF-Blu-ray-%E9%80%9A%E5%B8%B8%E7%89%88-Blu-ray-%E6%8A%BC%E5%B1%B1%E6%B8%85%E9%AB%98/dp/B0FV2TY9P3/ref=tmm_blu_swatch_0" TargetMode="External"/><Relationship Id="rId91" Type="http://schemas.openxmlformats.org/officeDocument/2006/relationships/hyperlink" Target="https://www.amazon.co.jp/dp/B00HI7SCT4?tag=webspire_new-22&amp;linkCode=osi&amp;th=1&amp;psc=1" TargetMode="External"/><Relationship Id="rId90" Type="http://schemas.openxmlformats.org/officeDocument/2006/relationships/hyperlink" Target="https://www.amazon.co.jp/dp/B0FHPXMKYH?tag=webspire_new-22&amp;linkCode=osi&amp;th=1&amp;psc=1" TargetMode="External"/><Relationship Id="rId93" Type="http://schemas.openxmlformats.org/officeDocument/2006/relationships/hyperlink" Target="https://tower.jp/ec/StoreProcure/StoreProcureItem.aspx?iid=7536230" TargetMode="External"/><Relationship Id="rId92" Type="http://schemas.openxmlformats.org/officeDocument/2006/relationships/hyperlink" Target="https://www.amazon.co.jp/dp/B0G5HL7595?tag=webspire_new-22&amp;linkCode=osi&amp;th=1&amp;psc=1" TargetMode="External"/><Relationship Id="rId118" Type="http://schemas.openxmlformats.org/officeDocument/2006/relationships/hyperlink" Target="https://www.amazon.co.jp/%E3%83%8F%E3%83%BC%E3%83%88-Heart-%E3%81%A1%E3%81%84%E3%81%8B%E3%82%8F%E3%83%81%E3%83%A7%E3%82%B3%E3%83%91%E3%83%BC%E3%83%86%E3%82%A3%E7%BC%B6-%E6%BA%96%E3%83%81%E3%83%A7%E3%82%B3%E3%83%AC%E3%83%BC%E3%83%88-%E9%A3%9F%E7%8E%A9/dp/B0FVD6XBMX/ref=sr_1_1?__mk_ja_JP=%E3%82%AB%E3%82%BF%E3%82%AB%E3%83%8A&amp;crid=6AN0KTC4NVR6&amp;dib=eyJ2IjoiMSJ9.spUtyUGy2HQFd1PWfW5FXOnxtlUnmRXtQ3ahSZ4hmQpd8MCk6fItFXQvmt5_MwZ2n5ZBxodwyhq9KUcYKDhzQ2HU5jI7Dtti8DS_iD2xyfsJqrHvMzfPH0Yx2M_tnpMqFe8opV5FQi6zpla4CUWJcuvNjR0Tow8e9rQUzs_jXV5Rc4bcwLZYXsNsgsyBvH-x3kHKqpm2_anWhObO5yVX8dEFnOOBEf74JHZUk8Zr-lw.ML3ed4hMJj-eMM2_FYQzS9DMKm5Nu0VKeHNLEi-zyZs&amp;dib_tag=se&amp;keywords=Chiikawa+Chocolate+Valentine+Nagano+Plus&amp;qid=1769670310&amp;sprefix=chiikawa+chocolate+valentine+nagano+plus%2Caps%2C324&amp;sr=8-1" TargetMode="External"/><Relationship Id="rId239" Type="http://schemas.openxmlformats.org/officeDocument/2006/relationships/hyperlink" Target="https://www.ebay.com/itm/146779854149?nordt=true&amp;orig_cvip=true&amp;rt=nc" TargetMode="External"/><Relationship Id="rId117" Type="http://schemas.openxmlformats.org/officeDocument/2006/relationships/hyperlink" Target="https://www.amazon.co.jp/%E3%82%B0%E3%83%AC%E3%82%A4%E3%83%BB%E3%83%91%E3%83%BC%E3%82%AB%E3%83%BC%E3%83%BB%E3%82%B5%E3%83%BC%E3%83%93%E3%82%B9-Gray-Parker-Service-%E3%82%82%E3%81%A1%E3%81%A3%E3%81%A8%E3%81%B7%E3%81%A1%E3%83%9F%E3%83%8B%E3%83%9E%E3%82%B9%E3%82%B3%E3%83%83%E3%83%88/dp/B0BK38VW4T/ref=sr_1_8?crid=8D6QUTSJMRNY&amp;dib=eyJ2IjoiMSJ9.hTpKjhkJVjyF1GARFdtFx3TLslUZY0u4bcl6va7u0kROHVWXMZQe-UFZ9vgBx6I-fyo6_tNuOSllHedeT2ucMquaquWHAossY0gMM0nKhPA2mnXluL40D_FtjYYvYPfFXmhXcuaJ1MBK9OYBmHDrS0fHXzhrN0AmByuZdi0nOi0WaOAR0I4_uzPKtG5sliuVr0pC8Fp7NR5BXfp0IHc1m4P5cu_w2a3CbpiKHJMHmM7xQtNeJ3cq4yus-t1FCaGDzV1xt5sosIrVSPfYLktE-NZpooSO-u17vYcL4RXUc38.fDs5BneF_vU4AhXai11kdDAE_rm0s4-1Ba5JrW_-Om8&amp;dib_tag=se&amp;keywords=chiikawa&amp;qid=1769669597&amp;s=toys&amp;sprefix=chii%2Ctoys%2C214&amp;sr=1-8" TargetMode="External"/><Relationship Id="rId238" Type="http://schemas.openxmlformats.org/officeDocument/2006/relationships/hyperlink" Target="https://item.rakuten.co.jp/auc-world-antiqu/20250816bleachb/" TargetMode="External"/><Relationship Id="rId359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9QGCCC8R?th=1" TargetMode="External"/><Relationship Id="rId116" Type="http://schemas.openxmlformats.org/officeDocument/2006/relationships/hyperlink" Target="https://www.ebay.com/itm/236249154027?nordt=true&amp;orig_cvip=true&amp;rt=nc" TargetMode="External"/><Relationship Id="rId237" Type="http://schemas.openxmlformats.org/officeDocument/2006/relationships/hyperlink" Target="https://www.ebay.com/itm/365303414298?nordt=true&amp;orig_cvip=true&amp;rt=nc" TargetMode="External"/><Relationship Id="rId358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83NZ54ZS?th=1" TargetMode="External"/><Relationship Id="rId479" Type="http://schemas.openxmlformats.org/officeDocument/2006/relationships/hyperlink" Target="https://www.amazon.co.jp/%E3%83%80%E3%82%A4%E3%83%AF-DAIWA-%E3%82%BD%E3%83%AB%E3%83%86%E3%82%A3%E3%82%AC-DURA%E3%82%BB%E3%83%B3%E3%82%B5%E3%83%BCX8-600m/dp/B07S3Y5WZ9/ref=zg_bs_g_10329362051_d_sccl_37/357-9393567-9939435?th=1&amp;psc=1" TargetMode="External"/><Relationship Id="rId115" Type="http://schemas.openxmlformats.org/officeDocument/2006/relationships/hyperlink" Target="https://www.amazon.co.jp/%E3%82%B0%E3%83%AC%E3%82%A4%E3%83%BB%E3%83%91%E3%83%BC%E3%82%AB%E3%83%BC%E3%83%BB%E3%82%B5%E3%83%BC%E3%83%93%E3%82%B9-Gray-Parker-Service-%E3%82%82%E3%81%A1%E3%81%A3%E3%81%A8%E3%81%AC%E3%81%84%E3%81%90%E3%82%8B%E3%81%BFS/dp/B0BK38K9V1/ref=sr_1_2?__mk_ja_JP=%E3%82%AB%E3%82%BF%E3%82%AB%E3%83%8A&amp;crid=2FQTNELGKPYAI&amp;dib=eyJ2IjoiMSJ9.kGmLd1lSXPWYLJWLI8BHYGUImu_ZGJDXq1PMGWWI9zuoAoEI384ts0jZuzmIKx4bOWEoZmuCsVhs31gQ4oYqGyoaUu7NjMfUWwXXsIB44xmyeaMvPZ44j63p7xj9GH3_n5diSw8b-XBaQeAVQuz_4pOfH9Gx9kJW_iP_Ilz1RhnzbP7WjFrmq-Bq3JG7hpaqBGK6SeRyehPixqEOPiBUpCmwiVLpKuvlbaVQY3dk6l1XBGQqpIASgwyGQEm6TxEjGQ1_j-okLoiTWQy_SWdqzf-qnxfvZDmnFiP-zZMAl0A.1RZtA_8yrf5Ueh-CTreUbWNL8fYqS28RLXO3fHywcLA&amp;dib_tag=se&amp;keywords=2024+new%2FChiikawa+Plush+Doll+Stuffed+Toy+S+Chiikawa+Anime+250mm&amp;qid=1769668864&amp;sprefix=2024+new%2Fchiikawa+plush+doll+stuffed+toy+s+chiikawa+anime+250mm%2Caps%2C228&amp;sr=8-2" TargetMode="External"/><Relationship Id="rId236" Type="http://schemas.openxmlformats.org/officeDocument/2006/relationships/hyperlink" Target="https://www.amazon.co.jp/dp/B07X25LL3L?tag=webspire_new-22&amp;linkCode=osi&amp;th=1&amp;psc=1" TargetMode="External"/><Relationship Id="rId357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BQ26LRFV?th=1" TargetMode="External"/><Relationship Id="rId478" Type="http://schemas.openxmlformats.org/officeDocument/2006/relationships/hyperlink" Target="https://www.amazon.co.jp/%E3%83%80%E3%82%A4%E3%83%AF-DAIWA-%E6%9C%88%E4%B8%8B%E7%BE%8E%E4%BA%BA%E3%83%87%E3%83%A5%E3%83%A9%E3%83%98%E3%83%93%E3%83%BCX4-%E3%83%9B%E3%83%AF%E3%82%A4%E3%83%88%E3%83%94%E3%83%B3%E3%82%AF-0-3-200/dp/B0BZNTGVMG/ref=zg_bs_g_10329362051_d_sccl_36/357-9393567-9939435?th=1" TargetMode="External"/><Relationship Id="rId119" Type="http://schemas.openxmlformats.org/officeDocument/2006/relationships/hyperlink" Target="https://www.amazon.co.jp/-/en/Chiikawa-Sitting-Gashapon-Hachiwaret-Rabbit/dp/B0CF3ZM5NP" TargetMode="External"/><Relationship Id="rId110" Type="http://schemas.openxmlformats.org/officeDocument/2006/relationships/hyperlink" Target="https://www.amazon.co.jp/KATSUHIKO-%E5%89%B5%E6%A5%AD%E6%96%87%E6%94%BF%E5%85%83%E5%B9%B4%E4%BA%AC%E9%83%BD%E8%80%81%E8%88%97%E8%8C%B6%E5%B8%AB%E5%8E%B3%E9%81%B8-%E6%9C%80%E9%AB%98%E7%B4%9A%E5%AE%87%E6%B2%BB%E6%9C%89%E6%A9%9F%E6%8A%B9%E8%8C%B6-%E5%B8%8C%E5%B0%91%E3%81%AA%E3%82%AA%E3%83%BC%E3%82%AC%E3%83%8B%E3%83%83%E3%82%AF-%E3%80%8C%E3%83%97%E3%83%AC%E3%83%9F%E3%82%A2%E3%83%A0%E3%82%BB%E3%83%AC%E3%83%A2%E3%83%8B%E3%83%BC%E3%82%B0%E3%83%AC%E3%83%BC%E3%83%89/dp/B0GDS4FMRR/ref=sr_1_1?crid=278I2UQ16NGH4&amp;dib=eyJ2IjoiMSJ9.PL1Yo4JkcSdMiqw_EBFsks34jY1WjvUQdpl-hMLMZzrg5I8MCqHlLmK7kgqY6DeqcaoFFfhikSa4dWSOL6aaHD3F5FaQCYwWntANWOsq32sX2fGuE1MLtsiK-pbF6EHuYEZThmp9kVmQCDiV68GzW4PFyI_GKKTCRpXPS0QzvE6Z9nhPGG2kBZMNidpc7WYEoSaM-KlbQ6YLTeKwP0PUW3OxLU42ApngJ0UgWGqMAL7lo6d_NKgJF7fXA3TGD5tgVJUmzkelDcQFsgZPJxeyRwl4zrtJxnrbXpE9VI-Gyck.bLdZeX1_sAWLn4qHo_impLgIQzdvkmAgfwnd_zUEPEs&amp;dib_tag=se&amp;keywords=%E8%B1%AA%E5%BD%A6&amp;qid=1769570807&amp;sprefix=%E8%B1%AA%E5%BD%A6%2Caps%2C454&amp;sr=8-1&amp;th=1" TargetMode="External"/><Relationship Id="rId231" Type="http://schemas.openxmlformats.org/officeDocument/2006/relationships/hyperlink" Target="https://www.ebay.com/itm/365104245262?nordt=true&amp;orig_cvip=true&amp;rt=nc" TargetMode="External"/><Relationship Id="rId352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F89X4SXP?th=1" TargetMode="External"/><Relationship Id="rId473" Type="http://schemas.openxmlformats.org/officeDocument/2006/relationships/hyperlink" Target="https://www.amazon.co.jp/%E3%83%87%E3%83%A5%E3%82%A8%E3%83%AB-DUEL-PE%E3%83%A9%E3%82%A4%E3%83%B3-%E3%83%8F%E3%83%BC%E3%83%89%E3%82%B3%E3%82%A2-H4305-5C/dp/B08WZ48HQ2/ref=zg_bs_g_10329362051_d_sccl_38/357-9393567-9939435?th=1" TargetMode="External"/><Relationship Id="rId230" Type="http://schemas.openxmlformats.org/officeDocument/2006/relationships/hyperlink" Target="https://www.amazon.co.jp/dp/B000JLSVSI?tag=webspire_new-22&amp;linkCode=osi&amp;th=1&amp;psc=1" TargetMode="External"/><Relationship Id="rId351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8SCNXM76?th=1" TargetMode="External"/><Relationship Id="rId472" Type="http://schemas.openxmlformats.org/officeDocument/2006/relationships/hyperlink" Target="https://www.amazon.co.jp/%E3%83%90%E3%83%AA%E3%83%90%E3%82%B9-VARIVAS-PE%E3%83%A9%E3%82%A4%E3%83%B3-%E3%83%9E%E3%83%83%E3%82%AF%E3%82%B9%E3%83%91%E3%83%AF%E3%83%BCPE-%E3%83%9E%E3%83%BC%E3%82%AD%E3%83%B3%E3%82%B0/dp/B0D46FFLCQ/ref=zg_bs_g_10329362051_d_sccl_37/357-9393567-9939435?th=1&amp;psc=1" TargetMode="External"/><Relationship Id="rId350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9NZSZQ56?th=1" TargetMode="External"/><Relationship Id="rId471" Type="http://schemas.openxmlformats.org/officeDocument/2006/relationships/hyperlink" Target="https://www.amazon.co.jp/%E3%83%80%E3%82%A4%E3%83%AF-DAIWA-%E3%82%BD%E3%83%AB%E3%83%86%E3%82%A3%E3%82%AC-DURA%E3%82%BB%E3%83%B3%E3%82%B5%E3%83%BCX8-600m/dp/B07S3Y5WZ9/ref=zg_bs_g_10329362051_d_sccl_35/357-9393567-9939435?th=1&amp;psc=1" TargetMode="External"/><Relationship Id="rId470" Type="http://schemas.openxmlformats.org/officeDocument/2006/relationships/hyperlink" Target="https://www.amazon.co.jp/%E3%82%AF%E3%83%AC%E3%83%8F-KUREHA-PE%E3%83%A9%E3%82%A4%E3%83%B3-11-8%E3%8E%8F-SPE2001-5/dp/B06WV9R8GF/ref=zg_bs_g_10329362051_d_sccl_34/357-9393567-9939435?psc=1" TargetMode="External"/><Relationship Id="rId114" Type="http://schemas.openxmlformats.org/officeDocument/2006/relationships/hyperlink" Target="https://www.ebay.com/itm/236249149558?nordt=true&amp;orig_cvip=true&amp;rt=nc" TargetMode="External"/><Relationship Id="rId235" Type="http://schemas.openxmlformats.org/officeDocument/2006/relationships/hyperlink" Target="https://www.ebay.com/itm/365232569670?nordt=true&amp;orig_cvip=true&amp;rt=nc" TargetMode="External"/><Relationship Id="rId356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9TS4MMZ8?th=1" TargetMode="External"/><Relationship Id="rId477" Type="http://schemas.openxmlformats.org/officeDocument/2006/relationships/hyperlink" Target="https://www.amazon.co.jp/%E3%83%87%E3%83%A5%E3%82%A8%E3%83%AB-DUEL-PE%E3%83%A9%E3%82%A4%E3%83%B3-%E3%82%A2%E3%83%BC%E3%83%9E%E3%83%BC%E3%83%89-H4113/dp/B01CVGG086/ref=zg_bs_g_10329362051_d_sccl_35/357-9393567-9939435?th=1&amp;psc=1" TargetMode="External"/><Relationship Id="rId113" Type="http://schemas.openxmlformats.org/officeDocument/2006/relationships/hyperlink" Target="https://www.amazon.co.jp/%E3%82%B0%E3%83%AC%E3%82%A4%E3%83%BB%E3%83%91%E3%83%BC%E3%82%AB%E3%83%BC%E3%83%BB%E3%82%B5%E3%83%BC%E3%83%93%E3%82%B9-Gray-Parker-Service-%E3%82%82%E3%81%A1%E3%81%A3%E3%81%A8%E3%81%AC%E3%81%84%E3%81%90%E3%82%8B%E3%81%BFS/dp/B0BK361NWF/ref=sr_1_2?__mk_ja_JP=%E3%82%AB%E3%82%BF%E3%82%AB%E3%83%8A&amp;crid=1RNI6OEXEH7US&amp;dib=eyJ2IjoiMSJ9.aEJrJGyjlxno82rGoYRW2vSwOITfgMxVEFXY0-1T3ARHfufNxen_4H1tq6OMkFOxpw83o0WLUdv2Dj852Shie0Ado8Ede9czkgDVbplbxCVXReVB-c0Nu-PdjNqfwXSbfVQ7Xx13U6hHNezhN4zzeIISFme0TB2Ag7w3ZAQhoJAuSuhpT1eXtEyIoQLKb4pgiyc6W3OX9C0IJz5ajVWmMl14AQaHUtwt4wywFZSzIYB-NaVOq2nXl_jOMbxtw0avGntJx1-yPrwVjVrZ5UWZ4-tWFwubuZmcwJwlWxrJ2iI.4L0DgeZClKnOHhTcSKmn959e1SiaLBQ_sHmKO6Po1Qk&amp;dib_tag=se&amp;keywords=hachiware+plush+doll+stuffed+toy+s+hikawa+anime+250mm&amp;qid=1769668272&amp;sprefix=hachiware+plush+doll+stuffed+toy+s+chiikawa+anime+250mm%2Caps%2C305&amp;sr=8-2" TargetMode="External"/><Relationship Id="rId234" Type="http://schemas.openxmlformats.org/officeDocument/2006/relationships/hyperlink" Target="https://www.amazon.co.jp/dp/B0CXT2L2HY?tag=webspire_new-22&amp;linkCode=osi&amp;th=1&amp;psc=1" TargetMode="External"/><Relationship Id="rId355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DR84T51N?th=1" TargetMode="External"/><Relationship Id="rId476" Type="http://schemas.openxmlformats.org/officeDocument/2006/relationships/hyperlink" Target="https://www.amazon.co.jp/%E3%83%87%E3%83%A5%E3%82%A8%E3%83%AB-DUEL-PE%E3%83%A9%E3%82%A4%E3%83%B3-%E3%82%A2%E3%83%BC%E3%83%9E%E3%83%BC%E3%83%89-H4113/dp/B01CVGBZMM/ref=zg_bs_g_10329362051_d_sccl_35/357-9393567-9939435?th=1&amp;psc=1" TargetMode="External"/><Relationship Id="rId112" Type="http://schemas.openxmlformats.org/officeDocument/2006/relationships/hyperlink" Target="https://www.amazon.co.jp/%E3%82%B7%E3%83%AB%E3%82%AD%E3%83%BC-%E6%8A%98%E8%BE%BC%E9%8B%B8-%E3%83%93%E3%83%83%E3%82%B0%E3%83%9C%E3%83%BC%E3%82%A4-360mm-352-36/dp/B0014C4R3E/ref=sr_1_9?crid=3NV9YTO9R95BA&amp;dib=eyJ2IjoiMSJ9.03RGCEtU3GKYfCZFM_WFAN5PIGnXiPJmt2iRogDr818CIp3WqBym6wEdnxLInJI_q8W_khYEG7lu3ttoGnTV5WBvHnBUdRq24VkLtEPGhTGo_mCPScSPrIOeUJoCzllcJGeK681hI9tccgSnGCFclOrLgzSDWbgqVI2XJw_nQ6bFsabbJ8vmTD4pNYHBqQhg7irBEmgbfI1RbhghAYrEzWgD6tT52bvgCXWDaMeTVvWMce-5PBrY-iFsgb6HqMGLEm_RR9P-Y2iIVdjlV39_8d3yVM-kiDOe2zn5erxwmI8.y60rA_mUhErHCphvzP7MZXoNDrimkYHTiE8ntrgurzE&amp;dib_tag=se&amp;keywords=Silky+360mm&amp;qid=1769647526&amp;sprefix=silky+360m%27m%2Caps%2C219&amp;sr=8-9" TargetMode="External"/><Relationship Id="rId233" Type="http://schemas.openxmlformats.org/officeDocument/2006/relationships/hyperlink" Target="https://www.ebay.com/itm/365147170889?nordt=true&amp;orig_cvip=true&amp;rt=nc" TargetMode="External"/><Relationship Id="rId354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8XTMCRKJ?th=1" TargetMode="External"/><Relationship Id="rId475" Type="http://schemas.openxmlformats.org/officeDocument/2006/relationships/hyperlink" Target="https://www.amazon.co.jp/%E3%82%B7%E3%83%9E%E3%83%8E-SHIMANO-%E3%82%AA%E3%82%B7%E3%82%A2%E3%82%B8%E3%82%AC%E3%83%BC-PL-O94P-%E3%83%9E%E3%83%AB%E3%83%81%E3%82%AB%E3%83%A9%E3%83%BC/dp/B0D66233J9/ref=zg_bs_g_10329362051_d_sccl_39/357-9393567-9939435?th=1&amp;psc=1" TargetMode="External"/><Relationship Id="rId111" Type="http://schemas.openxmlformats.org/officeDocument/2006/relationships/hyperlink" Target="https://www.amazon.co.jp/%E8%8D%92%E7%95%91%E5%9C%92-%E5%AF%8C%E5%A3%AB%E9%BB%84%E9%87%91%E7%BC%B6-70g%C3%972%E6%9C%AC-%E3%82%AE%E3%83%95%E3%83%88%E3%82%BB%E3%83%83%E3%83%88-%E3%83%97%E3%83%AC%E3%82%BC%E3%83%B3%E3%83%88/dp/B0CMWXWBF7/ref=pd_vtp_d_sccl_1_5/355-3582507-3163057?pd_rd_w=tlE1A&amp;content-id=amzn1.sym.289d93c5-bb87-47e6-b56c-76ff89f5333d&amp;pf_rd_p=289d93c5-bb87-47e6-b56c-76ff89f5333d&amp;pf_rd_r=XEM7DCQ48CBN567ST1KJ&amp;pd_rd_wg=e1PZU&amp;pd_rd_r=5fee8901-bdda-48fd-a638-9c44f3b0c095&amp;pd_rd_i=B0CMWXWBF7&amp;th=1" TargetMode="External"/><Relationship Id="rId232" Type="http://schemas.openxmlformats.org/officeDocument/2006/relationships/hyperlink" Target="https://www.amazon.co.jp/dp/B071R57HWV?tag=webspire_new-22&amp;linkCode=osi&amp;th=1&amp;psc=1" TargetMode="External"/><Relationship Id="rId353" Type="http://schemas.openxmlformats.org/officeDocument/2006/relationships/hyperlink" Target="https://www.amazon.co.jp/%E3%82%B7%E3%83%AB%E3%83%90%E3%83%8B%E3%82%A2%E3%83%95%E3%82%A1%E3%83%9F%E3%83%AA%E3%83%BC-%E3%82%86%E3%81%8D%E3%83%92%E3%83%A7%E3%82%A6%E3%83%95%E3%82%A1%E3%83%9F%E3%83%AA%E3%83%BC-FS-55-Sylvanian-EPOCH/dp/B083NZRW4B?th=1" TargetMode="External"/><Relationship Id="rId474" Type="http://schemas.openxmlformats.org/officeDocument/2006/relationships/hyperlink" Target="https://www.amazon.co.jp/%E3%82%B7%E3%83%9E%E3%83%8E-SHIMANO-%E3%82%AA%E3%82%B7%E3%82%A2%E3%82%B8%E3%82%AC%E3%83%BC-PL-O94P-%E3%83%9E%E3%83%AB%E3%83%81%E3%82%AB%E3%83%A9%E3%83%BC/dp/B0D6641X7L/ref=zg_bs_g_10329362051_d_sccl_39/357-9393567-9939435?th=1&amp;psc=1" TargetMode="External"/><Relationship Id="rId305" Type="http://schemas.openxmlformats.org/officeDocument/2006/relationships/hyperlink" Target="https://www.ebay.com/itm/142873929986?nordt=true&amp;orig_cvip=true&amp;rt=nc" TargetMode="External"/><Relationship Id="rId426" Type="http://schemas.openxmlformats.org/officeDocument/2006/relationships/hyperlink" Target="https://store.shopping.yahoo.co.jp/starclub/vizl-2493.html?sc_e=afvc_shp_3144472" TargetMode="External"/><Relationship Id="rId304" Type="http://schemas.openxmlformats.org/officeDocument/2006/relationships/hyperlink" Target="https://www.amazon.co.jp/dp/B00005UD3X?tag=webspire_new-22&amp;linkCode=osi&amp;th=1&amp;psc=1" TargetMode="External"/><Relationship Id="rId425" Type="http://schemas.openxmlformats.org/officeDocument/2006/relationships/hyperlink" Target="https://www.ebay.com/itm/277689188091?nordt=true&amp;orig_cvip=true&amp;rt=nc" TargetMode="External"/><Relationship Id="rId303" Type="http://schemas.openxmlformats.org/officeDocument/2006/relationships/hyperlink" Target="https://www.ebay.com/itm/306776436567?nordt=true&amp;orig_cvip=true&amp;rt=nc" TargetMode="External"/><Relationship Id="rId424" Type="http://schemas.openxmlformats.org/officeDocument/2006/relationships/hyperlink" Target="https://www.amazon.co.jp/dp/B0G6Z6GBDM?tag=webspire_new-22&amp;linkCode=osi&amp;th=1&amp;psc=1" TargetMode="External"/><Relationship Id="rId302" Type="http://schemas.openxmlformats.org/officeDocument/2006/relationships/hyperlink" Target="https://www.amazon.co.jp/dp/B0G351WV5N?tag=webspire_new-22&amp;linkCode=osi&amp;th=1&amp;psc=1" TargetMode="External"/><Relationship Id="rId423" Type="http://schemas.openxmlformats.org/officeDocument/2006/relationships/hyperlink" Target="https://www.ebay.com/itm/273796164703?nordt=true&amp;orig_cvip=true&amp;rt=nc" TargetMode="External"/><Relationship Id="rId309" Type="http://schemas.openxmlformats.org/officeDocument/2006/relationships/hyperlink" Target="https://www.amazon.co.jp/dp/B0G4M7P463?tag=webspire_new-22&amp;linkCode=osi&amp;th=1&amp;psc=1" TargetMode="External"/><Relationship Id="rId308" Type="http://schemas.openxmlformats.org/officeDocument/2006/relationships/hyperlink" Target="https://www.amazon.co.jp/dp/B0GFXSPC88?ref=fed_asin_title" TargetMode="External"/><Relationship Id="rId429" Type="http://schemas.openxmlformats.org/officeDocument/2006/relationships/hyperlink" Target="https://www.amazon.co.jp/dp/B08HQ6SBZ6?tag=webspire_new-22&amp;linkCode=osi&amp;th=1&amp;psc=1" TargetMode="External"/><Relationship Id="rId307" Type="http://schemas.openxmlformats.org/officeDocument/2006/relationships/hyperlink" Target="https://www.ebay.com/itm/133128277012?nordt=true&amp;orig_cvip=true&amp;rt=nc" TargetMode="External"/><Relationship Id="rId428" Type="http://schemas.openxmlformats.org/officeDocument/2006/relationships/hyperlink" Target="https://www.amazon.co.jp/%E3%82%B7%E3%83%9E%E3%83%8E-SHIMANO-LD-M68X-28-7lb-%E3%82%B9%E3%83%86%E3%82%A3%E3%83%BC%E3%83%AB%E3%82%B0%E3%83%AC%E3%82%A4/dp/B0CS69R6D8/ref=zg_bs_g_10329362051_d_sccl_3/357-9393567-9939435?th=1&amp;psc=1" TargetMode="External"/><Relationship Id="rId306" Type="http://schemas.openxmlformats.org/officeDocument/2006/relationships/hyperlink" Target="https://www.amazon.co.jp/dp/B009W67NI0?tag=webspire_new-22&amp;linkCode=osi&amp;th=1&amp;psc=1" TargetMode="External"/><Relationship Id="rId427" Type="http://schemas.openxmlformats.org/officeDocument/2006/relationships/hyperlink" Target="https://www.ebay.com/itm/277734722516?nordt=true&amp;orig_cvip=true&amp;rt=nc" TargetMode="External"/><Relationship Id="rId301" Type="http://schemas.openxmlformats.org/officeDocument/2006/relationships/hyperlink" Target="https://www.ebay.com/itm/187691904819?nordt=true&amp;orig_cvip=true&amp;rt=nc" TargetMode="External"/><Relationship Id="rId422" Type="http://schemas.openxmlformats.org/officeDocument/2006/relationships/hyperlink" Target="https://store.shopping.yahoo.co.jp/hakushindo/toct-40200.html?sc_e=afvc_shp_3144472" TargetMode="External"/><Relationship Id="rId300" Type="http://schemas.openxmlformats.org/officeDocument/2006/relationships/hyperlink" Target="https://www.amazon.co.jp/dp/B000RG1FMO?tag=webspire_new-22&amp;linkCode=osi&amp;th=1&amp;psc=1" TargetMode="External"/><Relationship Id="rId421" Type="http://schemas.openxmlformats.org/officeDocument/2006/relationships/hyperlink" Target="https://www.ebay.com/itm/227226232789?nordt=true&amp;orig_cvip=true&amp;rt=nc" TargetMode="External"/><Relationship Id="rId420" Type="http://schemas.openxmlformats.org/officeDocument/2006/relationships/hyperlink" Target="https://www.amazon.co.jp/dp/B0GB27MWS4?tag=webspire_new-22&amp;linkCode=osi&amp;th=1&amp;psc=1" TargetMode="External"/><Relationship Id="rId415" Type="http://schemas.openxmlformats.org/officeDocument/2006/relationships/hyperlink" Target="https://www.amazon.co.jp/%E3%82%A2%E3%83%8B%E3%83%A1%E3%80%8E%E3%82%A6%E3%83%9E%E5%A8%98-%E3%82%B7%E3%83%B3%E3%83%87%E3%83%AC%E3%83%A9%E3%82%B0%E3%83%AC%E3%82%A4%E3%80%8F%E7%AC%AC1%E3%82%AF%E3%83%BC%E3%83%AB%E3%82%A8%E3%83%B3%E3%83%87%E3%82%A3%E3%83%B3%E3%82%B0%E4%B8%BB%E9%A1%8C%E6%AD%8C-%E3%80%8C%E2%88%9E%E3%80%8D-%E3%82%AA%E3%82%B0%E3%83%AA%E3%82%AD%E3%83%A3%E3%83%83%E3%83%97-CV-%E9%AB%98%E6%9F%B3%E7%9F%A5%E8%91%89/dp/B0F3H5RH7G" TargetMode="External"/><Relationship Id="rId414" Type="http://schemas.openxmlformats.org/officeDocument/2006/relationships/hyperlink" Target="https://www.ebay.com/itm/116926842504?nordt=true&amp;orig_cvip=true&amp;rt=nc" TargetMode="External"/><Relationship Id="rId413" Type="http://schemas.openxmlformats.org/officeDocument/2006/relationships/hyperlink" Target="https://www.amazon.co.jp/dp/B0FT25RFR8?tag=webspire_new-22&amp;linkCode=osi&amp;th=1&amp;psc=1" TargetMode="External"/><Relationship Id="rId412" Type="http://schemas.openxmlformats.org/officeDocument/2006/relationships/hyperlink" Target="https://www.ebay.com/itm/116233557806?nordt=true&amp;orig_cvip=true&amp;rt=nc" TargetMode="External"/><Relationship Id="rId419" Type="http://schemas.openxmlformats.org/officeDocument/2006/relationships/hyperlink" Target="https://www.ebay.com/itm/227088089096?nordt=true&amp;orig_cvip=true&amp;rt=nc" TargetMode="External"/><Relationship Id="rId418" Type="http://schemas.openxmlformats.org/officeDocument/2006/relationships/hyperlink" Target="https://www.amazon.co.jp/dp/B003V4HNFW?tag=webspire_new-22&amp;linkCode=osi&amp;th=1&amp;psc=1" TargetMode="External"/><Relationship Id="rId417" Type="http://schemas.openxmlformats.org/officeDocument/2006/relationships/hyperlink" Target="https://www.ebay.com/itm/135721433044?nordt=true&amp;orig_cvip=true&amp;rt=nc" TargetMode="External"/><Relationship Id="rId416" Type="http://schemas.openxmlformats.org/officeDocument/2006/relationships/hyperlink" Target="https://www.amazon.co.jp/dp/B0CV7R6HT6?tag=webspire_new-22&amp;linkCode=osi&amp;th=1&amp;psc=1" TargetMode="External"/><Relationship Id="rId411" Type="http://schemas.openxmlformats.org/officeDocument/2006/relationships/hyperlink" Target="https://www.amazon.co.jp/dp/B0085UYFLC?tag=webspire_new-22&amp;linkCode=osi&amp;th=1&amp;psc=1" TargetMode="External"/><Relationship Id="rId410" Type="http://schemas.openxmlformats.org/officeDocument/2006/relationships/hyperlink" Target="https://www.ebay.com/itm/385407152699?nordt=true&amp;orig_cvip=true&amp;rt=nc" TargetMode="External"/><Relationship Id="rId206" Type="http://schemas.openxmlformats.org/officeDocument/2006/relationships/hyperlink" Target="https://www.amazon.co.jp/dp/B0F12VTSDF/ref=sspa_dk_detail_6?pf_rd_p=4519c587-1a66-4b67-a87f-559231103a05&amp;pf_rd_r=9NR4TTNAZFEQY0BSM79M&amp;pd_rd_wg=EiGOy&amp;pd_rd_w=HXIua&amp;content-id=amzn1.sym.4519c587-1a66-4b67-a87f-559231103a05&amp;pd_rd_r=a80dab6b-2dce-4ef0-85d8-7cfb7b7a860c&amp;sp_csd=d2lkZ2V0TmFtZT1zcF9kZXRhaWwy&amp;th=1" TargetMode="External"/><Relationship Id="rId327" Type="http://schemas.openxmlformats.org/officeDocument/2006/relationships/hyperlink" Target="https://www.amazon.co.jp/dp/B0G34YK4KN?tag=webspire_new-22&amp;linkCode=osi&amp;th=1&amp;psc=1" TargetMode="External"/><Relationship Id="rId448" Type="http://schemas.openxmlformats.org/officeDocument/2006/relationships/hyperlink" Target="https://www.amazon.co.jp/%E3%83%9E%E3%82%AD%E3%82%BF-Makita-%E5%85%85%E9%9B%BB%E5%BC%8F%E7%A9%BA%E6%B0%97%E5%85%A5%E3%82%8C-%E3%83%90%E3%83%83%E3%83%86%E3%83%AA%E3%83%BB%E5%85%85%E9%9B%BB%E5%99%A8%E5%88%A5%E5%A3%B2-MP001GZ/dp/B09F6KYFYS/ref=sr_1_6?crid=2QSHKIGTLFCK1&amp;dib=eyJ2IjoiMSJ9.4n4bSN78OpixJiOhsg9Igbj490-lWhQ256gPm-MydQSL08XeZqH1tSBy0qCtg4qtd61Igj9rBRWUARZxfgp7lXkJxbr-7G_eLshrIh49nFZYl_xQuuZr_foAGf-MsP2R_emqGfp5yaxB9vN6gMlN_bceyvdqSBP6T5ejG9jLIgmovBwNQAAdGnyLxF8vjIwsmpDJm212naafZ_yT7smnGLiEpsQG-kpv8synkHgwx2T2Fo7xEXkPut1KcA7RhvyLTMWpZOtbyMRAe-SOKrHLSOnsjbH6_1LVCR_gYiWGEl4.e2MT5rK1E3jSoDDgOyHrbyp17Bxw0Z_HOyKqMFnTD6M&amp;dib_tag=se&amp;keywords=makita+40v&amp;qid=1773384329&amp;sprefix=makita+40v%2Caps%2C281&amp;sr=8-6" TargetMode="External"/><Relationship Id="rId205" Type="http://schemas.openxmlformats.org/officeDocument/2006/relationships/hyperlink" Target="https://www.amazon.co.jp/%E8%96%AC%E5%B8%AB%E7%AA%AF-yakushigama-%E7%B4%85%E7%99%BD%E3%83%BB%E5%B0%8F-%E3%80%9053%E3%80%91-2026%E5%B9%B4/dp/B0FGPC8T5T/ref=pd_lutyp_pd_typ_d_typ_dealz_cs_d_sccl_4_6/355-3582507-3163057?pd_rd_w=11z4A&amp;content-id=amzn1.sym.c00a6f8a-68e8-4257-bd1b-9e0a6f001061&amp;pf_rd_p=c00a6f8a-68e8-4257-bd1b-9e0a6f001061&amp;pf_rd_r=JFFNTJ84V5NBHK40HF4A&amp;pd_rd_wg=Y4nvh&amp;pd_rd_r=6125b31a-2195-43d8-86ed-926f4df8145c&amp;pd_rd_i=B0FGPC8T5T&amp;th=1" TargetMode="External"/><Relationship Id="rId326" Type="http://schemas.openxmlformats.org/officeDocument/2006/relationships/hyperlink" Target="https://www.ebay.com/itm/177872108040?nordt=true&amp;orig_cvip=true&amp;rt=nc" TargetMode="External"/><Relationship Id="rId447" Type="http://schemas.openxmlformats.org/officeDocument/2006/relationships/hyperlink" Target="https://www.amazon.co.jp/%E3%82%B7%E3%83%9E%E3%83%8E-SHIMANO-PE%E3%83%A9%E3%82%A4%E3%83%B3-38-7lb-PL-F74R/dp/B079M5QTGQ/ref=zg_bs_g_10329362051_d_sccl_17/357-9393567-9939435?th=1" TargetMode="External"/><Relationship Id="rId204" Type="http://schemas.openxmlformats.org/officeDocument/2006/relationships/hyperlink" Target="https://www.amazon.co.jp/dp/B0DJWW2HRW?ref=cm_sw_r_cso_cp_apin_dp_GFDZYN5CVPM6AEFAY395&amp;ref_=cm_sw_r_cso_cp_apin_dp_GFDZYN5CVPM6AEFAY395&amp;social_share=cm_sw_r_cso_cp_apin_dp_GFDZYN5CVPM6AEFAY395&amp;th=1" TargetMode="External"/><Relationship Id="rId325" Type="http://schemas.openxmlformats.org/officeDocument/2006/relationships/hyperlink" Target="https://www.amazon.co.jp/dp/B00LSGZQ9U?tag=webspire_new-22&amp;linkCode=osi&amp;th=1&amp;psc=1" TargetMode="External"/><Relationship Id="rId446" Type="http://schemas.openxmlformats.org/officeDocument/2006/relationships/hyperlink" Target="https://store.shopping.yahoo.co.jp/samuraitackle/4544565068069.html?sc_e=afvc_shp_3144472" TargetMode="External"/><Relationship Id="rId203" Type="http://schemas.openxmlformats.org/officeDocument/2006/relationships/hyperlink" Target="https://www.amazon.co.jp/1%E4%B8%80%E8%88%AC%E8%B2%A9%E5%A3%B2%E9%96%8B%E5%A7%8B%E3%80%91%E3%81%BB%E3%81%BC%E6%97%A5%E6%89%8B%E5%B8%B3-weeks-%E5%90%8D%E6%8E%A2%E5%81%B5%E3%82%B3%E3%83%8A%E3%83%B3-%E3%82%B3%E3%83%8A%E3%83%B3%E3%83%A2%E3%83%81%E3%83%BC%E3%83%95-4%E6%9C%88%E5%A7%8B%E3%81%BE%E3%82%8A/dp/B0G2VD41YN/ref=sr_1_2?crid=2PF0SP61NJ1ZF&amp;dib=eyJ2IjoiMSJ9.TgYL3ZoHrdyVDbHUnlwUqco672UEO7sbQGgS0kV7Pi0gWbrtZz49ibGHBH8H3XlzIc5auHPOMB60_rjFBPMzxSiQCFFMlZ4iJXxiX3E-jqi2UxJoVY9KG--a2YRz8ROPmIY45auPFX_taNQnH--MQLTF-59turdVeWMwVYUhSsKifzWAm8ojUfNZdOUlcqf3Xgh9VHdOR104unVI-FikAz9dzZZirYeVLMUwM68AZZuMlQYI4n_zdKnXl8s5lhWOR7I8DMsm7nrBMQcDdnLWLE1OiM7DYDXJ9o9TYbghX4Q.fruW7L3uiTvdzJ9sFqTqX6ddcEwgRraeOFgajK-60Gw&amp;dib_tag=se&amp;keywords=%E3%81%BB%E3%81%BC%E6%97%A5%2B%E3%82%B3%E3%83%8A%E3%83%B3&amp;qid=1770099701&amp;sprefix=hobonichi%2Bkonan%2Caps%2C279&amp;sr=8-2&amp;th=1" TargetMode="External"/><Relationship Id="rId324" Type="http://schemas.openxmlformats.org/officeDocument/2006/relationships/hyperlink" Target="https://www.ebay.com/itm/144972991448?nordt=true&amp;orig_cvip=true&amp;rt=nc" TargetMode="External"/><Relationship Id="rId445" Type="http://schemas.openxmlformats.org/officeDocument/2006/relationships/hyperlink" Target="https://www.amazon.co.jp/%E3%82%B7%E3%83%9E%E3%83%8E-SHIMANO-PE%E3%83%A9%E3%82%A4%E3%83%B3-38-7lb-PL-F74R/dp/B079M5QTGQ/ref=zg_bs_g_10329362051_d_sccl_17/357-9393567-9939435?th=1" TargetMode="External"/><Relationship Id="rId209" Type="http://schemas.openxmlformats.org/officeDocument/2006/relationships/hyperlink" Target="https://www.amazon.co.jp/dp/B0F2FDYMKG/ref=sspa_dk_detail_0?pf_rd_p=f293be60-50b7-49bc-95e8-931faf86ed1e&amp;pf_rd_r=S3B6QXJWJSYKA57CPJE2&amp;pd_rd_wg=RxUbk&amp;pd_rd_w=rbBWV&amp;content-id=amzn1.sym.f293be60-50b7-49bc-95e8-931faf86ed1e&amp;pd_rd_r=f2088a56-8a80-4a75-8af5-a92d7c3197df&amp;sp_csd=d2lkZ2V0TmFtZT1zcF9kZXRhaWw&amp;th=1" TargetMode="External"/><Relationship Id="rId208" Type="http://schemas.openxmlformats.org/officeDocument/2006/relationships/hyperlink" Target="https://www.amazon.co.jp/dp/B0F2FGYDFD/ref=sspa_dk_detail_5?psc=1&amp;pd_rd_i=B0F2FGYDFD&amp;pd_rd_w=Z5uvK&amp;content-id=amzn1.sym.572ebb24-2377-4247-af86-efae9160931e&amp;pf_rd_p=572ebb24-2377-4247-af86-efae9160931e&amp;pf_rd_r=D709JC48854H6QE2D4EK&amp;pd_rd_wg=5Kj04&amp;pd_rd_r=b50e8720-4732-4feb-96e5-3f7f7172c630&amp;sp_csd=d2lkZ2V0TmFtZT1zcF9kZXRhaWxfdGhlbWF0aWM" TargetMode="External"/><Relationship Id="rId329" Type="http://schemas.openxmlformats.org/officeDocument/2006/relationships/hyperlink" Target="https://www.amazon.co.jp/-/en/EPOCH-Sylvanian-Families-Certified-Dollhouse/dp/B0CGR11BMH?th=1" TargetMode="External"/><Relationship Id="rId207" Type="http://schemas.openxmlformats.org/officeDocument/2006/relationships/hyperlink" Target="https://www.amazon.co.jp/dp/B0F12VTSDF/ref=sspa_dk_detail_6?pf_rd_p=4519c587-1a66-4b67-a87f-559231103a05&amp;pf_rd_r=9NR4TTNAZFEQY0BSM79M&amp;pd_rd_wg=EiGOy&amp;pd_rd_w=HXIua&amp;content-id=amzn1.sym.4519c587-1a66-4b67-a87f-559231103a05&amp;pd_rd_r=a80dab6b-2dce-4ef0-85d8-7cfb7b7a860c&amp;sp_csd=d2lkZ2V0TmFtZT1zcF9kZXRhaWwy&amp;th=1" TargetMode="External"/><Relationship Id="rId328" Type="http://schemas.openxmlformats.org/officeDocument/2006/relationships/hyperlink" Target="https://www.ebay.com/itm/116971753349?nordt=true&amp;orig_cvip=true&amp;rt=nc" TargetMode="External"/><Relationship Id="rId449" Type="http://schemas.openxmlformats.org/officeDocument/2006/relationships/hyperlink" Target="https://www.ebay.com/itm/176743323164?nordt=true&amp;orig_cvip=true&amp;rt=nc" TargetMode="External"/><Relationship Id="rId440" Type="http://schemas.openxmlformats.org/officeDocument/2006/relationships/hyperlink" Target="https://www.amazon.co.jp/%E3%82%88%E3%81%A4%E3%81%82%E3%81%BF-%E3%82%A8%E3%83%83%E3%82%AF%E3%82%B9%E3%83%96%E3%83%AC%E3%82%A4%E3%83%89-X-Braid-%E3%82%A2%E3%83%83%E3%83%97%E3%82%B0%E3%83%AC%E3%83%BC%E3%83%89-1m%E6%AF%8E15cm%E3%83%9B%E3%83%AF%E3%82%A4%E3%83%88%E3%83%9E%E3%83%BC%E3%82%AF/dp/B084ZY1G8C/ref=zg_bs_g_10329362051_d_sccl_11/357-9393567-9939435?th=1" TargetMode="External"/><Relationship Id="rId202" Type="http://schemas.openxmlformats.org/officeDocument/2006/relationships/hyperlink" Target="https://www.amazon.co.jp/1%E4%B8%80%E8%88%AC%E8%B2%A9%E5%A3%B2%E9%96%8B%E5%A7%8B%E3%80%91%E3%81%BB%E3%81%BC%E6%97%A5%E6%89%8B%E5%B8%B3-weeks-%E5%90%8D%E6%8E%A2%E5%81%B5%E3%82%B3%E3%83%8A%E3%83%B3-%E3%83%A1%E3%83%A2%E3%83%AA%E3%82%A2%E3%83%AB%E3%82%B3%E3%83%8A%E3%83%B3-4%E6%9C%88%E5%A7%8B%E3%81%BE%E3%82%8A/dp/B0G2V9XYF9/ref=sr_1_1?crid=2PF0SP61NJ1ZF&amp;dib=eyJ2IjoiMSJ9.TgYL3ZoHrdyVDbHUnlwUqco672UEO7sbQGgS0kV7Pi0gWbrtZz49ibGHBH8H3XlzIc5auHPOMB60_rjFBPMzxSiQCFFMlZ4iJXxiX3E-jqi2UxJoVY9KG--a2YRz8ROPmIY45auPFX_taNQnH--MQLTF-59turdVeWMwVYUhSsKifzWAm8ojUfNZdOUlcqf3Xgh9VHdOR104unVI-FikAz9dzZZirYeVLMUwM68AZZuMlQYI4n_zdKnXl8s5lhWOR7I8DMsm7nrBMQcDdnLWLE1OiM7DYDXJ9o9TYbghX4Q.fruW7L3uiTvdzJ9sFqTqX6ddcEwgRraeOFgajK-60Gw&amp;dib_tag=se&amp;keywords=%E3%81%BB%E3%81%BC%E6%97%A5%2B%E3%82%B3%E3%83%8A%E3%83%B3&amp;qid=1770099701&amp;sprefix=hobonichi%2Bkonan%2Caps%2C279&amp;sr=8-1&amp;th=1" TargetMode="External"/><Relationship Id="rId323" Type="http://schemas.openxmlformats.org/officeDocument/2006/relationships/hyperlink" Target="https://www.amazon.co.jp/dp/B00CCTUAIO?tag=webspire_new-22&amp;linkCode=osi&amp;th=1&amp;psc=1" TargetMode="External"/><Relationship Id="rId444" Type="http://schemas.openxmlformats.org/officeDocument/2006/relationships/hyperlink" Target="https://www.amazon.co.jp/%E3%83%A2%E3%83%BC%E3%83%AA%E3%82%B9-MORRIS-PE%E3%83%A9%E3%82%A4%E3%83%B3-%E3%82%B8%E3%82%AE%E3%83%B3%E3%82%B010%C3%9710-%E3%83%9E%E3%83%83%E3%82%AF%E3%82%B9%E3%83%91%E3%83%AF%E3%83%BCPE/dp/B07DW1G3D2/ref=zg_bs_g_10329362051_d_sccl_16/357-9393567-9939435?th=1&amp;psc=1" TargetMode="External"/><Relationship Id="rId201" Type="http://schemas.openxmlformats.org/officeDocument/2006/relationships/hyperlink" Target="https://www.uniqlo.com/jp/ja/products/E483370-000/00?colorDisplayCode=71&amp;sizeDisplayCode=120" TargetMode="External"/><Relationship Id="rId322" Type="http://schemas.openxmlformats.org/officeDocument/2006/relationships/hyperlink" Target="https://www.ebay.com/itm/144950415400?nordt=true&amp;orig_cvip=true&amp;rt=nc" TargetMode="External"/><Relationship Id="rId443" Type="http://schemas.openxmlformats.org/officeDocument/2006/relationships/hyperlink" Target="https://www.amazon.co.jp/%E3%83%A2%E3%83%BC%E3%83%AA%E3%82%B9-MORRIS-PE%E3%83%A9%E3%82%A4%E3%83%B3-%E3%82%B8%E3%82%AE%E3%83%B3%E3%82%B010%C3%9710-%E3%83%9E%E3%83%83%E3%82%AF%E3%82%B9%E3%83%91%E3%83%AF%E3%83%BCPE/dp/B07DW4MMHN/ref=zg_bs_g_10329362051_d_sccl_16/357-9393567-9939435?th=1&amp;psc=1" TargetMode="External"/><Relationship Id="rId200" Type="http://schemas.openxmlformats.org/officeDocument/2006/relationships/hyperlink" Target="https://www.uniqlo.com/jp/ja/products/E483372-000/00?colorDisplayCode=08&amp;sizeDisplayCode=120" TargetMode="External"/><Relationship Id="rId321" Type="http://schemas.openxmlformats.org/officeDocument/2006/relationships/hyperlink" Target="https://www.amazon.co.jp/dp/B09PFVZJDT?tag=webspire_new-22&amp;linkCode=osi&amp;th=1&amp;psc=1" TargetMode="External"/><Relationship Id="rId442" Type="http://schemas.openxmlformats.org/officeDocument/2006/relationships/hyperlink" Target="https://www.amazon.co.jp/%E3%83%90%E3%83%AA%E3%83%90%E3%82%B9-VARIVAS-PE%E3%83%A9%E3%82%A4%E3%83%B3-%E3%82%B8%E3%82%AE%E3%83%B3%E3%82%B010%C3%9710-%E3%83%9E%E3%83%83%E3%82%AF%E3%82%B9%E3%83%91%E3%83%AF%E3%83%BCPE/dp/B0CPSJF646/ref=zg_bs_g_10329362051_d_sccl_12/357-9393567-9939435?th=1&amp;psc=1" TargetMode="External"/><Relationship Id="rId320" Type="http://schemas.openxmlformats.org/officeDocument/2006/relationships/hyperlink" Target="https://www.ebay.com/itm/144351148704?nordt=true&amp;orig_cvip=true&amp;rt=nc" TargetMode="External"/><Relationship Id="rId441" Type="http://schemas.openxmlformats.org/officeDocument/2006/relationships/hyperlink" Target="https://www.amazon.co.jp/VARIVAS-%E3%83%90%E3%83%AA%E3%83%90%E3%82%B9-%E3%83%A9%E3%82%A4%E3%83%B3-%E3%82%AD%E3%83%A3%E3%82%B9%E3%83%86%E3%82%A3%E3%83%B3%E3%82%B0MAX%E3%83%91%E3%83%AF%E3%83%BCX8-300m/dp/B07P2FT32V/ref=zg_bs_g_10329362051_d_sccl_11/357-9393567-9939435?th=1&amp;psc=1" TargetMode="External"/><Relationship Id="rId316" Type="http://schemas.openxmlformats.org/officeDocument/2006/relationships/hyperlink" Target="https://www.ebay.com/itm/134106743303?nordt=true&amp;orig_cvip=true&amp;rt=nc" TargetMode="External"/><Relationship Id="rId437" Type="http://schemas.openxmlformats.org/officeDocument/2006/relationships/hyperlink" Target="https://www.amazon.co.jp/%E3%83%80%E3%82%A4%E3%83%AF-DAIWA-%E3%82%BD%E3%83%AB%E3%83%86%E3%82%A3%E3%82%AC-%E3%83%87%E3%83%A5%E3%83%A9%E3%82%BB%E3%83%B3%E3%82%B5%E3%83%BC-300m/dp/B083WH2G64/ref=zg_bs_g_10329362051_d_sccl_5/357-9393567-9939435?th=1&amp;psc=1" TargetMode="External"/><Relationship Id="rId315" Type="http://schemas.openxmlformats.org/officeDocument/2006/relationships/hyperlink" Target="https://item.rakuten.co.jp/guruguru2/uicy-79910/?scid=af_pc_etc&amp;sc2id=af_106_0_10002231&amp;af_tr_src=i2i_bh__g5_g4&amp;af_tct=t_0_top" TargetMode="External"/><Relationship Id="rId436" Type="http://schemas.openxmlformats.org/officeDocument/2006/relationships/hyperlink" Target="https://www.amazon.co.jp/%E3%82%B7%E3%83%9E%E3%83%8E-SHIMANO-%E3%83%A9%E3%82%A4%E3%83%A0%E3%82%B0%E3%83%AA%E3%83%BC%E3%83%B3-17-8lb-PL-M54R/dp/B079MJ9WJ7/ref=zg_bs_g_10329362051_d_sccl_4/357-9393567-9939435?th=1&amp;psc=1" TargetMode="External"/><Relationship Id="rId314" Type="http://schemas.openxmlformats.org/officeDocument/2006/relationships/hyperlink" Target="https://www.ebay.com/itm/365400260430?nordt=true&amp;orig_cvip=true&amp;rt=nc" TargetMode="External"/><Relationship Id="rId435" Type="http://schemas.openxmlformats.org/officeDocument/2006/relationships/hyperlink" Target="https://www.amazon.co.jp/%E3%82%B7%E3%83%9E%E3%83%8E-SHIMANO-LD-M68X-28-7lb-%E3%82%B9%E3%83%86%E3%82%A3%E3%83%BC%E3%83%AB%E3%82%B0%E3%83%AC%E3%82%A4/dp/B0CS6C2V59/ref=zg_bs_g_10329362051_d_sccl_3/357-9393567-9939435?th=1&amp;psc=1" TargetMode="External"/><Relationship Id="rId313" Type="http://schemas.openxmlformats.org/officeDocument/2006/relationships/hyperlink" Target="https://item.rakuten.co.jp/surprise-2/aznavcy-58118/" TargetMode="External"/><Relationship Id="rId434" Type="http://schemas.openxmlformats.org/officeDocument/2006/relationships/hyperlink" Target="https://www.amazon.co.jp/%E3%82%AF%E3%83%AC%E3%83%8F-KUREHA-PE%E3%83%A9%E3%82%A4%E3%83%B3-%E3%82%B7%E3%83%BC%E3%82%AC%E3%83%BC-200m/dp/B07F8B2ZWL/ref=zg_bs_g_10329362051_d_sccl_1/357-9393567-9939435?th=1&amp;psc=1" TargetMode="External"/><Relationship Id="rId319" Type="http://schemas.openxmlformats.org/officeDocument/2006/relationships/hyperlink" Target="https://www.amazon.co.jp/dp/B09JRJFFX4?tag=webspire_new-22&amp;linkCode=osi&amp;th=1&amp;psc=1" TargetMode="External"/><Relationship Id="rId318" Type="http://schemas.openxmlformats.org/officeDocument/2006/relationships/hyperlink" Target="https://www.ebay.com/itm/136827520925?nordt=true&amp;orig_cvip=true&amp;rt=nc" TargetMode="External"/><Relationship Id="rId439" Type="http://schemas.openxmlformats.org/officeDocument/2006/relationships/hyperlink" Target="https://www.amazon.co.jp/%E3%82%AF%E3%83%AC%E3%83%8F-KUREHA-%E3%82%B7%E3%83%BC%E3%82%AC%E3%83%BC-%E3%83%AB%E3%82%A2%E3%83%BC%E3%82%A8%E3%83%87%E3%82%A3%E3%82%B7%E3%83%A7%E3%83%B3-150m/dp/B07NHCBCJ4/ref=zg_bs_g_10329362051_d_sccl_10/357-9393567-9939435?th=1&amp;psc=1" TargetMode="External"/><Relationship Id="rId317" Type="http://schemas.openxmlformats.org/officeDocument/2006/relationships/hyperlink" Target="https://www.amazon.co.jp/-/en/GIRLS-GENERATION-Girls-Peace-%E5%88%9D%E5%9B%9E%E9%99%90%E5%AE%9A%E7%9B%A4/dp/B009K8JVLM" TargetMode="External"/><Relationship Id="rId438" Type="http://schemas.openxmlformats.org/officeDocument/2006/relationships/hyperlink" Target="https://www.amazon.co.jp/%E3%82%AF%E3%83%AC%E3%83%8F-KUREHA-%E3%82%B7%E3%83%BC%E3%82%AC%E3%83%BC-%E3%83%AB%E3%82%A2%E3%83%BC%E3%82%A8%E3%83%87%E3%82%A3%E3%82%B7%E3%83%A7%E3%83%B3-150m/dp/B07NHSJ1N7/ref=zg_bs_g_10329362051_d_sccl_10/357-9393567-9939435?th=1&amp;psc=1" TargetMode="External"/><Relationship Id="rId312" Type="http://schemas.openxmlformats.org/officeDocument/2006/relationships/hyperlink" Target="https://www.ebay.com/itm/335856154378?nordt=true&amp;orig_cvip=true&amp;rt=nc" TargetMode="External"/><Relationship Id="rId433" Type="http://schemas.openxmlformats.org/officeDocument/2006/relationships/hyperlink" Target="https://www.amazon.co.jp/%E3%82%AF%E3%83%AC%E3%83%8F-KUREHA-PE%E3%83%A9%E3%82%A4%E3%83%B3-%E3%82%B7%E3%83%BC%E3%82%AC%E3%83%BC-200m/dp/B06WV9LH4N/ref=zg_bs_g_10329362051_d_sccl_1/357-9393567-9939435?th=1&amp;psc=1" TargetMode="External"/><Relationship Id="rId311" Type="http://schemas.openxmlformats.org/officeDocument/2006/relationships/hyperlink" Target="https://www.amazon.co.jp/Go-Blind-%E6%9C%88%E7%8B%BC-%E9%80%9A%E5%B8%B8%E7%9B%A4-TEAM/dp/B0DWDDN32R" TargetMode="External"/><Relationship Id="rId432" Type="http://schemas.openxmlformats.org/officeDocument/2006/relationships/hyperlink" Target="https://www.ebay.com/itm/185891107150?nordt=true&amp;orig_cvip=true&amp;rt=nc" TargetMode="External"/><Relationship Id="rId310" Type="http://schemas.openxmlformats.org/officeDocument/2006/relationships/hyperlink" Target="https://www.ebay.com/itm/358242276191?nordt=true&amp;orig_cvip=true&amp;rt=nc" TargetMode="External"/><Relationship Id="rId431" Type="http://schemas.openxmlformats.org/officeDocument/2006/relationships/hyperlink" Target="https://www.amazon.co.jp/dp/B0BXS6WVWT?tag=webspire_new-22&amp;linkCode=osi&amp;th=1&amp;psc=1" TargetMode="External"/><Relationship Id="rId430" Type="http://schemas.openxmlformats.org/officeDocument/2006/relationships/hyperlink" Target="https://www.ebay.com/itm/186810483900?nordt=true&amp;orig_cvip=true&amp;rt=n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7.25"/>
    <col customWidth="1" min="2" max="2" width="17.75"/>
    <col customWidth="1" min="3" max="3" width="12.63"/>
    <col customWidth="1" min="4" max="6" width="5.13"/>
    <col customWidth="1" min="7" max="7" width="14.75"/>
    <col customWidth="1" min="8" max="9" width="6.38"/>
    <col customWidth="1" min="10" max="10" width="10.13"/>
    <col customWidth="1" min="11" max="11" width="7.63"/>
    <col customWidth="1" min="12" max="14" width="6.38"/>
    <col customWidth="1" min="15" max="15" width="7.63"/>
    <col customWidth="1" min="16" max="23" width="8.88"/>
    <col customWidth="1" hidden="1" min="24" max="24" width="8.88"/>
    <col customWidth="1" min="25" max="32" width="10.13"/>
  </cols>
  <sheetData>
    <row r="1">
      <c r="A1" s="1" t="s">
        <v>0</v>
      </c>
      <c r="B1" s="2">
        <v>142.0</v>
      </c>
      <c r="H1" s="3"/>
      <c r="I1" s="2" t="s">
        <v>1</v>
      </c>
      <c r="J1" s="4"/>
      <c r="K1" s="2" t="s">
        <v>2</v>
      </c>
      <c r="M1" s="2" t="s">
        <v>3</v>
      </c>
      <c r="N1" s="2" t="s">
        <v>4</v>
      </c>
      <c r="Z1" s="5"/>
      <c r="AA1" s="5"/>
      <c r="AD1" s="2"/>
      <c r="AE1" s="2"/>
      <c r="AF1" s="2"/>
      <c r="AG1" s="2"/>
    </row>
    <row r="2">
      <c r="H2" s="6"/>
      <c r="I2" s="2" t="s">
        <v>5</v>
      </c>
      <c r="J2" s="7"/>
      <c r="K2" s="2" t="s">
        <v>6</v>
      </c>
      <c r="M2" s="2" t="s">
        <v>7</v>
      </c>
      <c r="N2" s="2" t="s">
        <v>8</v>
      </c>
      <c r="Z2" s="5"/>
      <c r="AA2" s="5"/>
    </row>
    <row r="3">
      <c r="A3" s="8" t="s">
        <v>9</v>
      </c>
      <c r="B3" s="8" t="s">
        <v>10</v>
      </c>
      <c r="C3" s="9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1" t="s">
        <v>16</v>
      </c>
      <c r="I3" s="11" t="s">
        <v>17</v>
      </c>
      <c r="J3" s="11" t="s">
        <v>18</v>
      </c>
      <c r="K3" s="11" t="s">
        <v>19</v>
      </c>
      <c r="L3" s="11" t="s">
        <v>20</v>
      </c>
      <c r="M3" s="11" t="s">
        <v>21</v>
      </c>
      <c r="N3" s="11" t="s">
        <v>21</v>
      </c>
      <c r="O3" s="11" t="s">
        <v>22</v>
      </c>
      <c r="P3" s="11" t="s">
        <v>23</v>
      </c>
      <c r="Q3" s="11" t="s">
        <v>24</v>
      </c>
      <c r="R3" s="12" t="s">
        <v>25</v>
      </c>
      <c r="S3" s="12" t="s">
        <v>26</v>
      </c>
      <c r="T3" s="12" t="s">
        <v>27</v>
      </c>
      <c r="U3" s="12" t="s">
        <v>28</v>
      </c>
      <c r="V3" s="12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2" t="s">
        <v>35</v>
      </c>
      <c r="AC3" s="12" t="s">
        <v>36</v>
      </c>
      <c r="AD3" s="12" t="s">
        <v>37</v>
      </c>
      <c r="AE3" s="11" t="s">
        <v>38</v>
      </c>
      <c r="AF3" s="12" t="s">
        <v>39</v>
      </c>
      <c r="AG3" s="11" t="s">
        <v>40</v>
      </c>
    </row>
    <row r="4">
      <c r="A4" s="2" t="s">
        <v>41</v>
      </c>
      <c r="B4" s="2" t="s">
        <v>41</v>
      </c>
      <c r="C4" s="13" t="s">
        <v>42</v>
      </c>
      <c r="E4" s="14"/>
      <c r="F4" s="14"/>
      <c r="G4" s="13" t="s">
        <v>43</v>
      </c>
      <c r="H4" s="3">
        <v>0.05</v>
      </c>
      <c r="I4" s="3">
        <v>0.0</v>
      </c>
      <c r="J4" s="15">
        <v>2000.0</v>
      </c>
      <c r="K4" s="16">
        <v>210.0</v>
      </c>
      <c r="L4" s="16">
        <v>34.0</v>
      </c>
      <c r="M4" s="16">
        <v>24.0</v>
      </c>
      <c r="N4" s="16">
        <v>2.0</v>
      </c>
      <c r="O4" s="17">
        <f t="shared" ref="O4:O31" si="1">max(L4*M4*N4/8000*1000,K4)</f>
        <v>210</v>
      </c>
      <c r="P4" s="18">
        <v>36.43</v>
      </c>
      <c r="Q4" s="6">
        <f t="array" ref="Q4">XLOOKUP(K4/1000, '运费（邮政）'!$A$2:$A$21, '运费（邮政）'!$B$2:$B$21, "超出范围", 1)</f>
        <v>1240</v>
      </c>
      <c r="R4" s="18">
        <v>12.0</v>
      </c>
      <c r="S4" s="19">
        <f t="shared" ref="S4:S439" si="2">(V4+U4-Q4)/$B$1</f>
        <v>7.705418493</v>
      </c>
      <c r="T4" s="20">
        <f t="shared" ref="T4:T439" si="3">P4+R4</f>
        <v>48.43</v>
      </c>
      <c r="U4" s="21">
        <f t="array" ref="U4">XLOOKUP(O4/1000, '运费（橙联）'!$A$2:$A$57, '运费（橙联）'!$B$2:$B$57, "超出范围", 1)</f>
        <v>1581</v>
      </c>
      <c r="V4" s="22">
        <f>(P4*'参数表'!$C$2*(1+'参数表'!$C$3))*$B$1+'参数表'!$C$4</f>
        <v>753.169426</v>
      </c>
      <c r="W4" s="3">
        <v>0.127</v>
      </c>
      <c r="X4" s="4">
        <v>0.0135</v>
      </c>
      <c r="Y4" s="23">
        <f t="shared" ref="Y4:Y439" si="4">(P4*(1-I4)-AE4)*$B$1-J4-Q4</f>
        <v>678.1638047</v>
      </c>
      <c r="Z4" s="24">
        <f t="shared" ref="Z4:Z439" si="5">Y4/P4/$B$1</f>
        <v>0.1310952907</v>
      </c>
      <c r="AA4" s="25">
        <f t="shared" ref="AA4:AA439" si="6">Y4/J4</f>
        <v>0.3390819024</v>
      </c>
      <c r="AB4" s="23">
        <f t="shared" ref="AB4:AB439" si="7">(P4*(1-I4)+R4-AF4)*$B$1-J4-U4-V4</f>
        <v>930.9211787</v>
      </c>
      <c r="AC4" s="24">
        <f t="shared" ref="AC4:AC439" si="8">AB4/T4/$B$1</f>
        <v>0.1353661563</v>
      </c>
      <c r="AD4" s="25">
        <f t="shared" ref="AD4:AD439" si="9">AB4/J4</f>
        <v>0.4654605894</v>
      </c>
      <c r="AE4" s="26">
        <f>P4*(1-I4)*(1+'参数表'!$C$6)*(W4+X4+H4)*1.1+0.4*1.1</f>
        <v>8.83729715</v>
      </c>
      <c r="AF4" s="26">
        <f t="shared" ref="AF4:AF439" si="10">(P4*(1-I4)*1.1+R4)*(W4+X4+H4)*1.1+0.4*1.1</f>
        <v>11.35189715</v>
      </c>
      <c r="AG4" s="27"/>
    </row>
    <row r="5">
      <c r="A5" s="28" t="s">
        <v>44</v>
      </c>
      <c r="B5" s="29"/>
      <c r="C5" s="30" t="s">
        <v>45</v>
      </c>
      <c r="D5" s="2" t="s">
        <v>46</v>
      </c>
      <c r="E5" s="31"/>
      <c r="F5" s="31" t="s">
        <v>47</v>
      </c>
      <c r="G5" s="32"/>
      <c r="H5" s="3">
        <v>0.05</v>
      </c>
      <c r="I5" s="3">
        <v>0.0</v>
      </c>
      <c r="J5" s="15"/>
      <c r="K5" s="16"/>
      <c r="L5" s="16">
        <v>34.0</v>
      </c>
      <c r="M5" s="16">
        <v>24.0</v>
      </c>
      <c r="N5" s="16">
        <v>2.0</v>
      </c>
      <c r="O5" s="17">
        <f t="shared" si="1"/>
        <v>204</v>
      </c>
      <c r="P5" s="18"/>
      <c r="Q5" s="6">
        <f t="array" ref="Q5">XLOOKUP(K5/1000, '运费（邮政）'!$A$2:$A$21, '运费（邮政）'!$B$2:$B$21, "超出范围", 1)</f>
        <v>880</v>
      </c>
      <c r="R5" s="18"/>
      <c r="S5" s="19">
        <f t="shared" si="2"/>
        <v>6.521126761</v>
      </c>
      <c r="T5" s="20">
        <f t="shared" si="3"/>
        <v>0</v>
      </c>
      <c r="U5" s="21">
        <f t="array" ref="U5">XLOOKUP(O5/1000, '运费（橙联）'!$A$2:$A$57, '运费（橙联）'!$B$2:$B$57, "超出范围", 1)</f>
        <v>1581</v>
      </c>
      <c r="V5" s="22">
        <f>(P5*'参数表'!$C$2*(1+'参数表'!$C$3))*$B$1+'参数表'!$C$4</f>
        <v>225</v>
      </c>
      <c r="W5" s="3">
        <v>0.127</v>
      </c>
      <c r="X5" s="4">
        <v>0.0135</v>
      </c>
      <c r="Y5" s="23">
        <f t="shared" si="4"/>
        <v>-942.48</v>
      </c>
      <c r="Z5" s="24" t="str">
        <f t="shared" si="5"/>
        <v>#DIV/0!</v>
      </c>
      <c r="AA5" s="25" t="str">
        <f t="shared" si="6"/>
        <v>#DIV/0!</v>
      </c>
      <c r="AB5" s="23">
        <f t="shared" si="7"/>
        <v>-1868.48</v>
      </c>
      <c r="AC5" s="24" t="str">
        <f t="shared" si="8"/>
        <v>#DIV/0!</v>
      </c>
      <c r="AD5" s="25" t="str">
        <f t="shared" si="9"/>
        <v>#DIV/0!</v>
      </c>
      <c r="AE5" s="26">
        <f>P5*(1-I5)*(1+'参数表'!$C$6)*(W5+X5+H5)*1.1+0.4*1.1</f>
        <v>0.44</v>
      </c>
      <c r="AF5" s="26">
        <f t="shared" si="10"/>
        <v>0.44</v>
      </c>
      <c r="AG5" s="27"/>
    </row>
    <row r="6">
      <c r="A6" s="33" t="s">
        <v>48</v>
      </c>
      <c r="B6" s="29"/>
      <c r="C6" s="30" t="s">
        <v>49</v>
      </c>
      <c r="D6" s="2" t="s">
        <v>50</v>
      </c>
      <c r="E6" s="31"/>
      <c r="F6" s="31"/>
      <c r="G6" s="34" t="s">
        <v>51</v>
      </c>
      <c r="H6" s="3">
        <v>0.05</v>
      </c>
      <c r="I6" s="3">
        <v>0.0</v>
      </c>
      <c r="J6" s="15">
        <v>3300.0</v>
      </c>
      <c r="K6" s="16">
        <v>80.0</v>
      </c>
      <c r="L6" s="16">
        <v>34.0</v>
      </c>
      <c r="M6" s="16">
        <v>24.0</v>
      </c>
      <c r="N6" s="16">
        <v>2.0</v>
      </c>
      <c r="O6" s="17">
        <f t="shared" si="1"/>
        <v>204</v>
      </c>
      <c r="P6" s="18">
        <v>47.8</v>
      </c>
      <c r="Q6" s="6">
        <f t="array" ref="Q6">XLOOKUP(K6/1000, '运费（邮政）'!$A$2:$A$21, '运费（邮政）'!$B$2:$B$21, "超出范围", 1)</f>
        <v>880</v>
      </c>
      <c r="R6" s="18">
        <v>18.99</v>
      </c>
      <c r="S6" s="19">
        <f t="shared" si="2"/>
        <v>11.40150676</v>
      </c>
      <c r="T6" s="20">
        <f t="shared" si="3"/>
        <v>66.79</v>
      </c>
      <c r="U6" s="21">
        <f t="array" ref="U6">XLOOKUP(O6/1000, '运费（橙联）'!$A$2:$A$57, '运费（橙联）'!$B$2:$B$57, "超出范围", 1)</f>
        <v>1581</v>
      </c>
      <c r="V6" s="22">
        <f>(P6*'参数表'!$C$2*(1+'参数表'!$C$3))*$B$1+'参数表'!$C$4</f>
        <v>918.01396</v>
      </c>
      <c r="W6" s="3">
        <v>0.127</v>
      </c>
      <c r="X6" s="4">
        <v>0.0135</v>
      </c>
      <c r="Y6" s="23">
        <f t="shared" si="4"/>
        <v>980.544262</v>
      </c>
      <c r="Z6" s="24">
        <f t="shared" si="5"/>
        <v>0.1444611147</v>
      </c>
      <c r="AA6" s="25">
        <f t="shared" si="6"/>
        <v>0.2971346248</v>
      </c>
      <c r="AB6" s="23">
        <f t="shared" si="7"/>
        <v>1493.041963</v>
      </c>
      <c r="AC6" s="24">
        <f t="shared" si="8"/>
        <v>0.1574244651</v>
      </c>
      <c r="AD6" s="25">
        <f t="shared" si="9"/>
        <v>0.4524369585</v>
      </c>
      <c r="AE6" s="26">
        <f>P6*(1-I6)*(1+'参数表'!$C$6)*(W6+X6+H6)*1.1+0.4*1.1</f>
        <v>11.458139</v>
      </c>
      <c r="AF6" s="26">
        <f t="shared" si="10"/>
        <v>15.4374935</v>
      </c>
      <c r="AG6" s="35"/>
    </row>
    <row r="7">
      <c r="A7" s="28" t="s">
        <v>52</v>
      </c>
      <c r="B7" s="29"/>
      <c r="C7" s="30" t="s">
        <v>53</v>
      </c>
      <c r="D7" s="2" t="s">
        <v>54</v>
      </c>
      <c r="E7" s="31"/>
      <c r="F7" s="31"/>
      <c r="G7" s="34" t="s">
        <v>55</v>
      </c>
      <c r="H7" s="3">
        <v>0.05</v>
      </c>
      <c r="I7" s="3">
        <v>0.0</v>
      </c>
      <c r="J7" s="15">
        <v>10129.0</v>
      </c>
      <c r="K7" s="16">
        <v>1880.0</v>
      </c>
      <c r="L7" s="16">
        <v>125.0</v>
      </c>
      <c r="M7" s="16">
        <v>16.5</v>
      </c>
      <c r="N7" s="16">
        <v>4.5</v>
      </c>
      <c r="O7" s="17">
        <f t="shared" si="1"/>
        <v>1880</v>
      </c>
      <c r="P7" s="18">
        <v>158.0</v>
      </c>
      <c r="Q7" s="6">
        <f t="array" ref="Q7">XLOOKUP(K7/1000, '运费（邮政）'!$A$2:$A$21, '运费（邮政）'!$B$2:$B$21, "超出范围", 1)</f>
        <v>4120</v>
      </c>
      <c r="R7" s="18">
        <v>34.99</v>
      </c>
      <c r="S7" s="19">
        <f t="shared" si="2"/>
        <v>16.70222254</v>
      </c>
      <c r="T7" s="20">
        <f t="shared" si="3"/>
        <v>192.99</v>
      </c>
      <c r="U7" s="21">
        <f t="array" ref="U7">XLOOKUP(O7/1000, '运费（橙联）'!$A$2:$A$57, '运费（橙联）'!$B$2:$B$57, "超出范围", 1)</f>
        <v>3976</v>
      </c>
      <c r="V7" s="22">
        <f>(P7*'参数表'!$C$2*(1+'参数表'!$C$3))*$B$1+'参数表'!$C$4</f>
        <v>2515.7156</v>
      </c>
      <c r="W7" s="3">
        <v>0.127</v>
      </c>
      <c r="X7" s="4">
        <v>0.0135</v>
      </c>
      <c r="Y7" s="23">
        <f t="shared" si="4"/>
        <v>2952.90982</v>
      </c>
      <c r="Z7" s="24">
        <f t="shared" si="5"/>
        <v>0.1316148075</v>
      </c>
      <c r="AA7" s="25">
        <f t="shared" si="6"/>
        <v>0.2915302419</v>
      </c>
      <c r="AB7" s="23">
        <f t="shared" si="7"/>
        <v>4508.608281</v>
      </c>
      <c r="AC7" s="24">
        <f t="shared" si="8"/>
        <v>0.1645202474</v>
      </c>
      <c r="AD7" s="25">
        <f t="shared" si="9"/>
        <v>0.4451187956</v>
      </c>
      <c r="AE7" s="26">
        <f>P7*(1-I7)*(1+'参数表'!$C$6)*(W7+X7+H7)*1.1+0.4*1.1</f>
        <v>36.85979</v>
      </c>
      <c r="AF7" s="26">
        <f t="shared" si="10"/>
        <v>44.1919445</v>
      </c>
      <c r="AG7" s="35"/>
    </row>
    <row r="8">
      <c r="A8" s="28" t="s">
        <v>56</v>
      </c>
      <c r="B8" s="29"/>
      <c r="C8" s="30" t="s">
        <v>57</v>
      </c>
      <c r="E8" s="31"/>
      <c r="F8" s="31"/>
      <c r="G8" s="34" t="s">
        <v>58</v>
      </c>
      <c r="H8" s="3">
        <v>0.05</v>
      </c>
      <c r="I8" s="3">
        <v>0.0</v>
      </c>
      <c r="J8" s="15">
        <v>3300.0</v>
      </c>
      <c r="K8" s="16">
        <v>80.0</v>
      </c>
      <c r="L8" s="16">
        <v>34.0</v>
      </c>
      <c r="M8" s="16">
        <v>24.0</v>
      </c>
      <c r="N8" s="16">
        <v>2.0</v>
      </c>
      <c r="O8" s="17">
        <f t="shared" si="1"/>
        <v>204</v>
      </c>
      <c r="P8" s="18">
        <v>47.8</v>
      </c>
      <c r="Q8" s="6">
        <f t="array" ref="Q8">XLOOKUP(K8/1000, '运费（邮政）'!$A$2:$A$21, '运费（邮政）'!$B$2:$B$21, "超出范围", 1)</f>
        <v>880</v>
      </c>
      <c r="R8" s="18">
        <v>18.99</v>
      </c>
      <c r="S8" s="19">
        <f t="shared" si="2"/>
        <v>11.40150676</v>
      </c>
      <c r="T8" s="20">
        <f t="shared" si="3"/>
        <v>66.79</v>
      </c>
      <c r="U8" s="21">
        <f t="array" ref="U8">XLOOKUP(O8/1000, '运费（橙联）'!$A$2:$A$57, '运费（橙联）'!$B$2:$B$57, "超出范围", 1)</f>
        <v>1581</v>
      </c>
      <c r="V8" s="22">
        <f>(P8*'参数表'!$C$2*(1+'参数表'!$C$3))*$B$1+'参数表'!$C$4</f>
        <v>918.01396</v>
      </c>
      <c r="W8" s="3">
        <v>0.127</v>
      </c>
      <c r="X8" s="4">
        <v>0.0135</v>
      </c>
      <c r="Y8" s="23">
        <f t="shared" si="4"/>
        <v>980.544262</v>
      </c>
      <c r="Z8" s="24">
        <f t="shared" si="5"/>
        <v>0.1444611147</v>
      </c>
      <c r="AA8" s="25">
        <f t="shared" si="6"/>
        <v>0.2971346248</v>
      </c>
      <c r="AB8" s="23">
        <f t="shared" si="7"/>
        <v>1493.041963</v>
      </c>
      <c r="AC8" s="24">
        <f t="shared" si="8"/>
        <v>0.1574244651</v>
      </c>
      <c r="AD8" s="25">
        <f t="shared" si="9"/>
        <v>0.4524369585</v>
      </c>
      <c r="AE8" s="26">
        <f>P8*(1-I8)*(1+'参数表'!$C$6)*(W8+X8+H8)*1.1+0.4*1.1</f>
        <v>11.458139</v>
      </c>
      <c r="AF8" s="26">
        <f t="shared" si="10"/>
        <v>15.4374935</v>
      </c>
      <c r="AG8" s="35"/>
    </row>
    <row r="9">
      <c r="A9" s="28" t="s">
        <v>59</v>
      </c>
      <c r="B9" s="29"/>
      <c r="C9" s="30" t="s">
        <v>60</v>
      </c>
      <c r="D9" s="2" t="s">
        <v>61</v>
      </c>
      <c r="E9" s="31"/>
      <c r="F9" s="31"/>
      <c r="G9" s="36" t="s">
        <v>62</v>
      </c>
      <c r="H9" s="3">
        <v>0.05</v>
      </c>
      <c r="I9" s="3">
        <v>0.0</v>
      </c>
      <c r="J9" s="15">
        <v>1106.0</v>
      </c>
      <c r="K9" s="16">
        <v>80.0</v>
      </c>
      <c r="L9" s="16">
        <v>34.0</v>
      </c>
      <c r="M9" s="16">
        <v>24.0</v>
      </c>
      <c r="N9" s="16">
        <v>2.0</v>
      </c>
      <c r="O9" s="17">
        <f t="shared" si="1"/>
        <v>204</v>
      </c>
      <c r="P9" s="18">
        <v>21.8</v>
      </c>
      <c r="Q9" s="6">
        <f t="array" ref="Q9">XLOOKUP(K9/1000, '运费（邮政）'!$A$2:$A$21, '运费（邮政）'!$B$2:$B$21, "超出范围", 1)</f>
        <v>880</v>
      </c>
      <c r="R9" s="18">
        <v>12.99</v>
      </c>
      <c r="S9" s="19">
        <f t="shared" si="2"/>
        <v>8.746906761</v>
      </c>
      <c r="T9" s="20">
        <f t="shared" si="3"/>
        <v>34.79</v>
      </c>
      <c r="U9" s="21">
        <f t="array" ref="U9">XLOOKUP(O9/1000, '运费（橙联）'!$A$2:$A$57, '运费（橙联）'!$B$2:$B$57, "超出范围", 1)</f>
        <v>1581</v>
      </c>
      <c r="V9" s="22">
        <f>(P9*'参数表'!$C$2*(1+'参数表'!$C$3))*$B$1+'参数表'!$C$4</f>
        <v>541.06076</v>
      </c>
      <c r="W9" s="3">
        <v>0.127</v>
      </c>
      <c r="X9" s="4">
        <v>0.0135</v>
      </c>
      <c r="Y9" s="23">
        <f t="shared" si="4"/>
        <v>333.568722</v>
      </c>
      <c r="Z9" s="24">
        <f t="shared" si="5"/>
        <v>0.1077557572</v>
      </c>
      <c r="AA9" s="25">
        <f t="shared" si="6"/>
        <v>0.3015992061</v>
      </c>
      <c r="AB9" s="23">
        <f t="shared" si="7"/>
        <v>549.556223</v>
      </c>
      <c r="AC9" s="24">
        <f t="shared" si="8"/>
        <v>0.1112421456</v>
      </c>
      <c r="AD9" s="25">
        <f t="shared" si="9"/>
        <v>0.4968862776</v>
      </c>
      <c r="AE9" s="26">
        <f>P9*(1-I9)*(1+'参数表'!$C$6)*(W9+X9+H9)*1.1+0.4*1.1</f>
        <v>5.465009</v>
      </c>
      <c r="AF9" s="26">
        <f t="shared" si="10"/>
        <v>8.1870635</v>
      </c>
      <c r="AG9" s="35"/>
    </row>
    <row r="10">
      <c r="A10" s="28" t="s">
        <v>63</v>
      </c>
      <c r="B10" s="29"/>
      <c r="C10" s="30" t="s">
        <v>64</v>
      </c>
      <c r="D10" s="2" t="s">
        <v>65</v>
      </c>
      <c r="E10" s="14"/>
      <c r="F10" s="14"/>
      <c r="G10" s="34" t="s">
        <v>66</v>
      </c>
      <c r="H10" s="3">
        <v>0.05</v>
      </c>
      <c r="I10" s="3">
        <v>0.0</v>
      </c>
      <c r="J10" s="15">
        <v>1210.0</v>
      </c>
      <c r="K10" s="16">
        <v>80.0</v>
      </c>
      <c r="L10" s="16">
        <v>34.0</v>
      </c>
      <c r="M10" s="16">
        <v>24.0</v>
      </c>
      <c r="N10" s="16">
        <v>2.0</v>
      </c>
      <c r="O10" s="17">
        <f t="shared" si="1"/>
        <v>204</v>
      </c>
      <c r="P10" s="18">
        <v>23.8</v>
      </c>
      <c r="Q10" s="6">
        <f t="array" ref="Q10">XLOOKUP(K10/1000, '运费（邮政）'!$A$2:$A$21, '运费（邮政）'!$B$2:$B$21, "超出范围", 1)</f>
        <v>880</v>
      </c>
      <c r="R10" s="18">
        <v>12.99</v>
      </c>
      <c r="S10" s="19">
        <f t="shared" si="2"/>
        <v>8.951106761</v>
      </c>
      <c r="T10" s="20">
        <f t="shared" si="3"/>
        <v>36.79</v>
      </c>
      <c r="U10" s="21">
        <f t="array" ref="U10">XLOOKUP(O10/1000, '运费（橙联）'!$A$2:$A$57, '运费（橙联）'!$B$2:$B$57, "超出范围", 1)</f>
        <v>1581</v>
      </c>
      <c r="V10" s="22">
        <f>(P10*'参数表'!$C$2*(1+'参数表'!$C$3))*$B$1+'参数表'!$C$4</f>
        <v>570.05716</v>
      </c>
      <c r="W10" s="3">
        <v>0.127</v>
      </c>
      <c r="X10" s="4">
        <v>0.0135</v>
      </c>
      <c r="Y10" s="23">
        <f t="shared" si="4"/>
        <v>448.105302</v>
      </c>
      <c r="Z10" s="24">
        <f t="shared" si="5"/>
        <v>0.1325912244</v>
      </c>
      <c r="AA10" s="25">
        <f t="shared" si="6"/>
        <v>0.3703349603</v>
      </c>
      <c r="AB10" s="23">
        <f t="shared" si="7"/>
        <v>635.096403</v>
      </c>
      <c r="AC10" s="24">
        <f t="shared" si="8"/>
        <v>0.1215686295</v>
      </c>
      <c r="AD10" s="25">
        <f t="shared" si="9"/>
        <v>0.5248730603</v>
      </c>
      <c r="AE10" s="26">
        <f>P10*(1-I10)*(1+'参数表'!$C$6)*(W10+X10+H10)*1.1+0.4*1.1</f>
        <v>5.926019</v>
      </c>
      <c r="AF10" s="26">
        <f t="shared" si="10"/>
        <v>8.6480735</v>
      </c>
    </row>
    <row r="11">
      <c r="A11" s="28" t="s">
        <v>67</v>
      </c>
      <c r="B11" s="29"/>
      <c r="C11" s="30" t="s">
        <v>68</v>
      </c>
      <c r="D11" s="2" t="s">
        <v>69</v>
      </c>
      <c r="E11" s="14"/>
      <c r="F11" s="14"/>
      <c r="G11" s="37"/>
      <c r="H11" s="3">
        <v>0.05</v>
      </c>
      <c r="I11" s="3">
        <v>0.0</v>
      </c>
      <c r="J11" s="15"/>
      <c r="K11" s="16"/>
      <c r="L11" s="16">
        <v>34.0</v>
      </c>
      <c r="M11" s="16">
        <v>24.0</v>
      </c>
      <c r="N11" s="16">
        <v>2.0</v>
      </c>
      <c r="O11" s="17">
        <f t="shared" si="1"/>
        <v>204</v>
      </c>
      <c r="P11" s="18"/>
      <c r="Q11" s="6">
        <f t="array" ref="Q11">XLOOKUP(K11/1000, '运费（邮政）'!$A$2:$A$21, '运费（邮政）'!$B$2:$B$21, "超出范围", 1)</f>
        <v>880</v>
      </c>
      <c r="R11" s="18"/>
      <c r="S11" s="19">
        <f t="shared" si="2"/>
        <v>6.521126761</v>
      </c>
      <c r="T11" s="20">
        <f t="shared" si="3"/>
        <v>0</v>
      </c>
      <c r="U11" s="21">
        <f t="array" ref="U11">XLOOKUP(O11/1000, '运费（橙联）'!$A$2:$A$57, '运费（橙联）'!$B$2:$B$57, "超出范围", 1)</f>
        <v>1581</v>
      </c>
      <c r="V11" s="22">
        <f>(P11*'参数表'!$C$2*(1+'参数表'!$C$3))*$B$1+'参数表'!$C$4</f>
        <v>225</v>
      </c>
      <c r="W11" s="3">
        <v>0.127</v>
      </c>
      <c r="X11" s="4">
        <v>0.0135</v>
      </c>
      <c r="Y11" s="23">
        <f t="shared" si="4"/>
        <v>-942.48</v>
      </c>
      <c r="Z11" s="24" t="str">
        <f t="shared" si="5"/>
        <v>#DIV/0!</v>
      </c>
      <c r="AA11" s="25" t="str">
        <f t="shared" si="6"/>
        <v>#DIV/0!</v>
      </c>
      <c r="AB11" s="23">
        <f t="shared" si="7"/>
        <v>-1868.48</v>
      </c>
      <c r="AC11" s="24" t="str">
        <f t="shared" si="8"/>
        <v>#DIV/0!</v>
      </c>
      <c r="AD11" s="25" t="str">
        <f t="shared" si="9"/>
        <v>#DIV/0!</v>
      </c>
      <c r="AE11" s="26">
        <f>P11*(1-I11)*(1+'参数表'!$C$6)*(W11+X11+H11)*1.1+0.4*1.1</f>
        <v>0.44</v>
      </c>
      <c r="AF11" s="26">
        <f t="shared" si="10"/>
        <v>0.44</v>
      </c>
    </row>
    <row r="12">
      <c r="A12" s="28" t="s">
        <v>70</v>
      </c>
      <c r="B12" s="29"/>
      <c r="C12" s="30" t="s">
        <v>71</v>
      </c>
      <c r="D12" s="2" t="s">
        <v>61</v>
      </c>
      <c r="E12" s="14"/>
      <c r="F12" s="14"/>
      <c r="G12" s="34" t="s">
        <v>72</v>
      </c>
      <c r="H12" s="3">
        <v>0.05</v>
      </c>
      <c r="I12" s="3">
        <v>0.0</v>
      </c>
      <c r="J12" s="15">
        <v>900.0</v>
      </c>
      <c r="K12" s="16">
        <v>110.0</v>
      </c>
      <c r="L12" s="16">
        <v>34.0</v>
      </c>
      <c r="M12" s="16">
        <v>24.0</v>
      </c>
      <c r="N12" s="16">
        <v>2.0</v>
      </c>
      <c r="O12" s="17">
        <f t="shared" si="1"/>
        <v>204</v>
      </c>
      <c r="P12" s="18">
        <v>21.8</v>
      </c>
      <c r="Q12" s="6">
        <f t="array" ref="Q12">XLOOKUP(K12/1000, '运费（邮政）'!$A$2:$A$21, '运费（邮政）'!$B$2:$B$21, "超出范围", 1)</f>
        <v>1060</v>
      </c>
      <c r="R12" s="18">
        <v>12.99</v>
      </c>
      <c r="S12" s="19">
        <f t="shared" si="2"/>
        <v>7.479301127</v>
      </c>
      <c r="T12" s="20">
        <f t="shared" si="3"/>
        <v>34.79</v>
      </c>
      <c r="U12" s="21">
        <f t="array" ref="U12">XLOOKUP(O12/1000, '运费（橙联）'!$A$2:$A$57, '运费（橙联）'!$B$2:$B$57, "超出范围", 1)</f>
        <v>1581</v>
      </c>
      <c r="V12" s="22">
        <f>(P12*'参数表'!$C$2*(1+'参数表'!$C$3))*$B$1+'参数表'!$C$4</f>
        <v>541.06076</v>
      </c>
      <c r="W12" s="3">
        <v>0.127</v>
      </c>
      <c r="X12" s="4">
        <v>0.0135</v>
      </c>
      <c r="Y12" s="23">
        <f t="shared" si="4"/>
        <v>359.568722</v>
      </c>
      <c r="Z12" s="24">
        <f t="shared" si="5"/>
        <v>0.1161547752</v>
      </c>
      <c r="AA12" s="25">
        <f t="shared" si="6"/>
        <v>0.3995208022</v>
      </c>
      <c r="AB12" s="23">
        <f t="shared" si="7"/>
        <v>755.556223</v>
      </c>
      <c r="AC12" s="24">
        <f t="shared" si="8"/>
        <v>0.1529410311</v>
      </c>
      <c r="AD12" s="25">
        <f t="shared" si="9"/>
        <v>0.8395069144</v>
      </c>
      <c r="AE12" s="26">
        <f>P12*(1-I12)*(1+'参数表'!$C$6)*(W12+X12+H12)*1.1+0.4*1.1</f>
        <v>5.465009</v>
      </c>
      <c r="AF12" s="26">
        <f t="shared" si="10"/>
        <v>8.1870635</v>
      </c>
    </row>
    <row r="13">
      <c r="A13" s="28" t="s">
        <v>73</v>
      </c>
      <c r="B13" s="29"/>
      <c r="C13" s="30" t="s">
        <v>74</v>
      </c>
      <c r="D13" s="2" t="s">
        <v>61</v>
      </c>
      <c r="E13" s="14"/>
      <c r="F13" s="14"/>
      <c r="G13" s="34" t="s">
        <v>75</v>
      </c>
      <c r="H13" s="3">
        <v>0.05</v>
      </c>
      <c r="I13" s="3">
        <v>0.0</v>
      </c>
      <c r="J13" s="15">
        <v>1350.0</v>
      </c>
      <c r="K13" s="16">
        <v>80.0</v>
      </c>
      <c r="L13" s="16">
        <v>34.0</v>
      </c>
      <c r="M13" s="16">
        <v>24.0</v>
      </c>
      <c r="N13" s="16">
        <v>2.0</v>
      </c>
      <c r="O13" s="17">
        <f t="shared" si="1"/>
        <v>204</v>
      </c>
      <c r="P13" s="18">
        <v>24.2</v>
      </c>
      <c r="Q13" s="6">
        <f t="array" ref="Q13">XLOOKUP(K13/1000, '运费（邮政）'!$A$2:$A$21, '运费（邮政）'!$B$2:$B$21, "超出范围", 1)</f>
        <v>880</v>
      </c>
      <c r="R13" s="18">
        <v>12.99</v>
      </c>
      <c r="S13" s="19">
        <f t="shared" si="2"/>
        <v>8.991946761</v>
      </c>
      <c r="T13" s="20">
        <f t="shared" si="3"/>
        <v>37.19</v>
      </c>
      <c r="U13" s="21">
        <f t="array" ref="U13">XLOOKUP(O13/1000, '运费（橙联）'!$A$2:$A$57, '运费（橙联）'!$B$2:$B$57, "超出范围", 1)</f>
        <v>1581</v>
      </c>
      <c r="V13" s="22">
        <f>(P13*'参数表'!$C$2*(1+'参数表'!$C$3))*$B$1+'参数表'!$C$4</f>
        <v>575.85644</v>
      </c>
      <c r="W13" s="3">
        <v>0.127</v>
      </c>
      <c r="X13" s="4">
        <v>0.0135</v>
      </c>
      <c r="Y13" s="23">
        <f t="shared" si="4"/>
        <v>351.812618</v>
      </c>
      <c r="Z13" s="24">
        <f t="shared" si="5"/>
        <v>0.1023782499</v>
      </c>
      <c r="AA13" s="25">
        <f t="shared" si="6"/>
        <v>0.2606019393</v>
      </c>
      <c r="AB13" s="23">
        <f t="shared" si="7"/>
        <v>533.004439</v>
      </c>
      <c r="AC13" s="24">
        <f t="shared" si="8"/>
        <v>0.1009290774</v>
      </c>
      <c r="AD13" s="25">
        <f t="shared" si="9"/>
        <v>0.394818103</v>
      </c>
      <c r="AE13" s="26">
        <f>P13*(1-I13)*(1+'参数表'!$C$6)*(W13+X13+H13)*1.1+0.4*1.1</f>
        <v>6.018221</v>
      </c>
      <c r="AF13" s="26">
        <f t="shared" si="10"/>
        <v>8.7402755</v>
      </c>
    </row>
    <row r="14">
      <c r="A14" s="28" t="s">
        <v>76</v>
      </c>
      <c r="B14" s="29"/>
      <c r="C14" s="30" t="s">
        <v>77</v>
      </c>
      <c r="E14" s="14"/>
      <c r="F14" s="14"/>
      <c r="G14" s="38"/>
      <c r="H14" s="3">
        <v>0.05</v>
      </c>
      <c r="I14" s="3">
        <v>0.0</v>
      </c>
      <c r="J14" s="15">
        <v>4980.0</v>
      </c>
      <c r="K14" s="16">
        <v>410.0</v>
      </c>
      <c r="L14" s="16">
        <v>34.0</v>
      </c>
      <c r="M14" s="16">
        <v>24.0</v>
      </c>
      <c r="N14" s="16">
        <v>2.0</v>
      </c>
      <c r="O14" s="17">
        <f t="shared" si="1"/>
        <v>410</v>
      </c>
      <c r="P14" s="18">
        <v>74.8</v>
      </c>
      <c r="Q14" s="6">
        <f t="array" ref="Q14">XLOOKUP(K14/1000, '运费（邮政）'!$A$2:$A$21, '运费（邮政）'!$B$2:$B$21, "超出范围", 1)</f>
        <v>1600</v>
      </c>
      <c r="R14" s="18">
        <v>21.99</v>
      </c>
      <c r="S14" s="19">
        <f t="shared" si="2"/>
        <v>12.46102366</v>
      </c>
      <c r="T14" s="20">
        <f t="shared" si="3"/>
        <v>96.79</v>
      </c>
      <c r="U14" s="21">
        <f t="array" ref="U14">XLOOKUP(O14/1000, '运费（橙联）'!$A$2:$A$57, '运费（橙联）'!$B$2:$B$57, "超出范围", 1)</f>
        <v>2060</v>
      </c>
      <c r="V14" s="22">
        <f>(P14*'参数表'!$C$2*(1+'参数表'!$C$3))*$B$1+'参数表'!$C$4</f>
        <v>1309.46536</v>
      </c>
      <c r="W14" s="3">
        <v>0.127</v>
      </c>
      <c r="X14" s="4">
        <v>0.0135</v>
      </c>
      <c r="Y14" s="23">
        <f t="shared" si="4"/>
        <v>1530.788092</v>
      </c>
      <c r="Z14" s="24">
        <f t="shared" si="5"/>
        <v>0.1441202919</v>
      </c>
      <c r="AA14" s="25">
        <f t="shared" si="6"/>
        <v>0.3073871671</v>
      </c>
      <c r="AB14" s="23">
        <f t="shared" si="7"/>
        <v>2229.566093</v>
      </c>
      <c r="AC14" s="24">
        <f t="shared" si="8"/>
        <v>0.1622189242</v>
      </c>
      <c r="AD14" s="25">
        <f t="shared" si="9"/>
        <v>0.4477040347</v>
      </c>
      <c r="AE14" s="26">
        <f>P14*(1-I14)*(1+'参数表'!$C$6)*(W14+X14+H14)*1.1+0.4*1.1</f>
        <v>17.681774</v>
      </c>
      <c r="AF14" s="26">
        <f t="shared" si="10"/>
        <v>22.2897785</v>
      </c>
    </row>
    <row r="15">
      <c r="A15" s="28" t="s">
        <v>78</v>
      </c>
      <c r="B15" s="29"/>
      <c r="C15" s="30" t="s">
        <v>79</v>
      </c>
      <c r="D15" s="2" t="s">
        <v>61</v>
      </c>
      <c r="E15" s="14"/>
      <c r="F15" s="14"/>
      <c r="G15" s="34" t="s">
        <v>80</v>
      </c>
      <c r="H15" s="3">
        <v>0.05</v>
      </c>
      <c r="I15" s="3">
        <v>0.0</v>
      </c>
      <c r="J15" s="15">
        <v>1399.0</v>
      </c>
      <c r="K15" s="16">
        <v>310.0</v>
      </c>
      <c r="L15" s="16">
        <v>34.0</v>
      </c>
      <c r="M15" s="16">
        <v>24.0</v>
      </c>
      <c r="N15" s="16">
        <v>2.0</v>
      </c>
      <c r="O15" s="17">
        <f t="shared" si="1"/>
        <v>310</v>
      </c>
      <c r="P15" s="18">
        <v>29.8</v>
      </c>
      <c r="Q15" s="6">
        <f t="array" ref="Q15">XLOOKUP(K15/1000, '运费（邮政）'!$A$2:$A$21, '运费（邮政）'!$B$2:$B$21, "超出范围", 1)</f>
        <v>1420</v>
      </c>
      <c r="R15" s="18">
        <v>12.99</v>
      </c>
      <c r="S15" s="19">
        <f t="shared" si="2"/>
        <v>7.148213803</v>
      </c>
      <c r="T15" s="20">
        <f t="shared" si="3"/>
        <v>42.79</v>
      </c>
      <c r="U15" s="21">
        <f t="array" ref="U15">XLOOKUP(O15/1000, '运费（橙联）'!$A$2:$A$57, '运费（橙联）'!$B$2:$B$57, "超出范围", 1)</f>
        <v>1778</v>
      </c>
      <c r="V15" s="22">
        <f>(P15*'参数表'!$C$2*(1+'参数表'!$C$3))*$B$1+'参数表'!$C$4</f>
        <v>657.04636</v>
      </c>
      <c r="W15" s="3">
        <v>0.127</v>
      </c>
      <c r="X15" s="4">
        <v>0.0135</v>
      </c>
      <c r="Y15" s="23">
        <f t="shared" si="4"/>
        <v>374.715042</v>
      </c>
      <c r="Z15" s="24">
        <f t="shared" si="5"/>
        <v>0.08855162161</v>
      </c>
      <c r="AA15" s="25">
        <f t="shared" si="6"/>
        <v>0.2678449192</v>
      </c>
      <c r="AB15" s="23">
        <f t="shared" si="7"/>
        <v>817.716943</v>
      </c>
      <c r="AC15" s="24">
        <f t="shared" si="8"/>
        <v>0.1345774719</v>
      </c>
      <c r="AD15" s="25">
        <f t="shared" si="9"/>
        <v>0.5845010315</v>
      </c>
      <c r="AE15" s="26">
        <f>P15*(1-I15)*(1+'参数表'!$C$6)*(W15+X15+H15)*1.1+0.4*1.1</f>
        <v>7.309049</v>
      </c>
      <c r="AF15" s="26">
        <f t="shared" si="10"/>
        <v>10.0311035</v>
      </c>
    </row>
    <row r="16">
      <c r="A16" s="28" t="s">
        <v>81</v>
      </c>
      <c r="B16" s="29"/>
      <c r="C16" s="30" t="s">
        <v>82</v>
      </c>
      <c r="D16" s="2" t="s">
        <v>61</v>
      </c>
      <c r="E16" s="14"/>
      <c r="F16" s="14"/>
      <c r="G16" s="34" t="s">
        <v>83</v>
      </c>
      <c r="H16" s="3">
        <v>0.05</v>
      </c>
      <c r="I16" s="3">
        <v>0.0</v>
      </c>
      <c r="J16" s="15">
        <v>3300.0</v>
      </c>
      <c r="K16" s="16">
        <v>210.0</v>
      </c>
      <c r="L16" s="16">
        <v>34.0</v>
      </c>
      <c r="M16" s="16">
        <v>24.0</v>
      </c>
      <c r="N16" s="16">
        <v>2.0</v>
      </c>
      <c r="O16" s="17">
        <f t="shared" si="1"/>
        <v>210</v>
      </c>
      <c r="P16" s="18">
        <v>49.8</v>
      </c>
      <c r="Q16" s="6">
        <f t="array" ref="Q16">XLOOKUP(K16/1000, '运费（邮政）'!$A$2:$A$21, '运费（邮政）'!$B$2:$B$21, "超出范围", 1)</f>
        <v>1240</v>
      </c>
      <c r="R16" s="18">
        <v>15.99</v>
      </c>
      <c r="S16" s="19">
        <f t="shared" si="2"/>
        <v>9.070495493</v>
      </c>
      <c r="T16" s="20">
        <f t="shared" si="3"/>
        <v>65.79</v>
      </c>
      <c r="U16" s="21">
        <f t="array" ref="U16">XLOOKUP(O16/1000, '运费（橙联）'!$A$2:$A$57, '运费（橙联）'!$B$2:$B$57, "超出范围", 1)</f>
        <v>1581</v>
      </c>
      <c r="V16" s="22">
        <f>(P16*'参数表'!$C$2*(1+'参数表'!$C$3))*$B$1+'参数表'!$C$4</f>
        <v>947.01036</v>
      </c>
      <c r="W16" s="3">
        <v>0.127</v>
      </c>
      <c r="X16" s="4">
        <v>0.0135</v>
      </c>
      <c r="Y16" s="23">
        <f t="shared" si="4"/>
        <v>839.080842</v>
      </c>
      <c r="Z16" s="24">
        <f t="shared" si="5"/>
        <v>0.1186550204</v>
      </c>
      <c r="AA16" s="25">
        <f t="shared" si="6"/>
        <v>0.2542669218</v>
      </c>
      <c r="AB16" s="23">
        <f t="shared" si="7"/>
        <v>1345.850443</v>
      </c>
      <c r="AC16" s="24">
        <f t="shared" si="8"/>
        <v>0.1440617118</v>
      </c>
      <c r="AD16" s="25">
        <f t="shared" si="9"/>
        <v>0.4078334676</v>
      </c>
      <c r="AE16" s="26">
        <f>P16*(1-I16)*(1+'参数表'!$C$6)*(W16+X16+H16)*1.1+0.4*1.1</f>
        <v>11.919149</v>
      </c>
      <c r="AF16" s="26">
        <f t="shared" si="10"/>
        <v>15.2698535</v>
      </c>
    </row>
    <row r="17">
      <c r="A17" s="28" t="s">
        <v>84</v>
      </c>
      <c r="B17" s="29"/>
      <c r="C17" s="30" t="s">
        <v>85</v>
      </c>
      <c r="D17" s="2" t="s">
        <v>61</v>
      </c>
      <c r="E17" s="14"/>
      <c r="F17" s="14"/>
      <c r="G17" s="34" t="s">
        <v>86</v>
      </c>
      <c r="H17" s="3">
        <v>0.05</v>
      </c>
      <c r="I17" s="3">
        <v>0.0</v>
      </c>
      <c r="J17" s="15">
        <v>1309.0</v>
      </c>
      <c r="K17" s="16">
        <v>210.0</v>
      </c>
      <c r="L17" s="16">
        <v>15.0</v>
      </c>
      <c r="M17" s="16">
        <v>5.0</v>
      </c>
      <c r="N17" s="16">
        <v>10.0</v>
      </c>
      <c r="O17" s="17">
        <f t="shared" si="1"/>
        <v>210</v>
      </c>
      <c r="P17" s="18">
        <v>27.9</v>
      </c>
      <c r="Q17" s="6">
        <f t="array" ref="Q17">XLOOKUP(K17/1000, '运费（邮政）'!$A$2:$A$21, '运费（邮政）'!$B$2:$B$21, "超出范围", 1)</f>
        <v>1240</v>
      </c>
      <c r="R17" s="18">
        <v>12.99</v>
      </c>
      <c r="S17" s="19">
        <f t="shared" si="2"/>
        <v>6.834505493</v>
      </c>
      <c r="T17" s="20">
        <f t="shared" si="3"/>
        <v>40.89</v>
      </c>
      <c r="U17" s="21">
        <f t="array" ref="U17">XLOOKUP(O17/1000, '运费（橙联）'!$A$2:$A$57, '运费（橙联）'!$B$2:$B$57, "超出范围", 1)</f>
        <v>1581</v>
      </c>
      <c r="V17" s="22">
        <f>(P17*'参数表'!$C$2*(1+'参数表'!$C$3))*$B$1+'参数表'!$C$4</f>
        <v>629.49978</v>
      </c>
      <c r="W17" s="3">
        <v>0.127</v>
      </c>
      <c r="X17" s="4">
        <v>0.0135</v>
      </c>
      <c r="Y17" s="23">
        <f t="shared" si="4"/>
        <v>437.105291</v>
      </c>
      <c r="Z17" s="24">
        <f t="shared" si="5"/>
        <v>0.110329974</v>
      </c>
      <c r="AA17" s="25">
        <f t="shared" si="6"/>
        <v>0.3339230642</v>
      </c>
      <c r="AB17" s="23">
        <f t="shared" si="7"/>
        <v>924.653772</v>
      </c>
      <c r="AC17" s="24">
        <f t="shared" si="8"/>
        <v>0.1592478915</v>
      </c>
      <c r="AD17" s="25">
        <f t="shared" si="9"/>
        <v>0.7063817968</v>
      </c>
      <c r="AE17" s="26">
        <f>P17*(1-I17)*(1+'参数表'!$C$6)*(W17+X17+H17)*1.1+0.4*1.1</f>
        <v>6.8710895</v>
      </c>
      <c r="AF17" s="26">
        <f t="shared" si="10"/>
        <v>9.593144</v>
      </c>
    </row>
    <row r="18">
      <c r="A18" s="28" t="s">
        <v>87</v>
      </c>
      <c r="B18" s="29"/>
      <c r="C18" s="30" t="s">
        <v>88</v>
      </c>
      <c r="D18" s="2" t="s">
        <v>89</v>
      </c>
      <c r="E18" s="14"/>
      <c r="F18" s="14"/>
      <c r="G18" s="32"/>
      <c r="H18" s="3">
        <v>0.05</v>
      </c>
      <c r="I18" s="3">
        <v>0.0</v>
      </c>
      <c r="J18" s="15">
        <v>7980.0</v>
      </c>
      <c r="K18" s="16">
        <v>1210.0</v>
      </c>
      <c r="L18" s="16">
        <v>26.0</v>
      </c>
      <c r="M18" s="16">
        <v>16.0</v>
      </c>
      <c r="N18" s="16">
        <v>0.1</v>
      </c>
      <c r="O18" s="17">
        <f t="shared" si="1"/>
        <v>1210</v>
      </c>
      <c r="P18" s="18">
        <v>129.0</v>
      </c>
      <c r="Q18" s="6">
        <f t="array" ref="Q18">XLOOKUP(K18/1000, '运费（邮政）'!$A$2:$A$21, '运费（邮政）'!$B$2:$B$21, "超出范围", 1)</f>
        <v>3040</v>
      </c>
      <c r="R18" s="18">
        <v>29.99</v>
      </c>
      <c r="S18" s="19">
        <f t="shared" si="2"/>
        <v>17.05118169</v>
      </c>
      <c r="T18" s="20">
        <f t="shared" si="3"/>
        <v>158.99</v>
      </c>
      <c r="U18" s="21">
        <f t="array" ref="U18">XLOOKUP(O18/1000, '运费（橙联）'!$A$2:$A$57, '运费（橙联）'!$B$2:$B$57, "超出范围", 1)</f>
        <v>3366</v>
      </c>
      <c r="V18" s="22">
        <f>(P18*'参数表'!$C$2*(1+'参数表'!$C$3))*$B$1+'参数表'!$C$4</f>
        <v>2095.2678</v>
      </c>
      <c r="W18" s="3">
        <v>0.127</v>
      </c>
      <c r="X18" s="4">
        <v>0.0135</v>
      </c>
      <c r="Y18" s="23">
        <f t="shared" si="4"/>
        <v>3013.12941</v>
      </c>
      <c r="Z18" s="24">
        <f t="shared" si="5"/>
        <v>0.1644900868</v>
      </c>
      <c r="AA18" s="25">
        <f t="shared" si="6"/>
        <v>0.3775851391</v>
      </c>
      <c r="AB18" s="23">
        <f t="shared" si="7"/>
        <v>3958.056171</v>
      </c>
      <c r="AC18" s="24">
        <f t="shared" si="8"/>
        <v>0.1753169068</v>
      </c>
      <c r="AD18" s="25">
        <f t="shared" si="9"/>
        <v>0.4959970139</v>
      </c>
      <c r="AE18" s="26">
        <f>P18*(1-I18)*(1+'参数表'!$C$6)*(W18+X18+H18)*1.1+0.4*1.1</f>
        <v>30.175145</v>
      </c>
      <c r="AF18" s="26">
        <f t="shared" si="10"/>
        <v>36.4595495</v>
      </c>
    </row>
    <row r="19">
      <c r="A19" s="28" t="s">
        <v>90</v>
      </c>
      <c r="B19" s="29"/>
      <c r="C19" s="30" t="s">
        <v>91</v>
      </c>
      <c r="D19" s="39" t="s">
        <v>92</v>
      </c>
      <c r="E19" s="14"/>
      <c r="F19" s="14"/>
      <c r="G19" s="40"/>
      <c r="H19" s="3">
        <v>0.05</v>
      </c>
      <c r="I19" s="3">
        <v>0.0</v>
      </c>
      <c r="J19" s="15"/>
      <c r="K19" s="16"/>
      <c r="L19" s="16">
        <v>34.0</v>
      </c>
      <c r="M19" s="16">
        <v>24.0</v>
      </c>
      <c r="N19" s="16">
        <v>2.0</v>
      </c>
      <c r="O19" s="17">
        <f t="shared" si="1"/>
        <v>204</v>
      </c>
      <c r="P19" s="18"/>
      <c r="Q19" s="6">
        <f t="array" ref="Q19">XLOOKUP(K19/1000, '运费（邮政）'!$A$2:$A$21, '运费（邮政）'!$B$2:$B$21, "超出范围", 1)</f>
        <v>880</v>
      </c>
      <c r="R19" s="18"/>
      <c r="S19" s="19">
        <f t="shared" si="2"/>
        <v>6.521126761</v>
      </c>
      <c r="T19" s="20">
        <f t="shared" si="3"/>
        <v>0</v>
      </c>
      <c r="U19" s="21">
        <f t="array" ref="U19">XLOOKUP(O19/1000, '运费（橙联）'!$A$2:$A$57, '运费（橙联）'!$B$2:$B$57, "超出范围", 1)</f>
        <v>1581</v>
      </c>
      <c r="V19" s="22">
        <f>(P19*'参数表'!$C$2*(1+'参数表'!$C$3))*$B$1+'参数表'!$C$4</f>
        <v>225</v>
      </c>
      <c r="W19" s="3">
        <v>0.127</v>
      </c>
      <c r="X19" s="4">
        <v>0.0135</v>
      </c>
      <c r="Y19" s="23">
        <f t="shared" si="4"/>
        <v>-942.48</v>
      </c>
      <c r="Z19" s="24" t="str">
        <f t="shared" si="5"/>
        <v>#DIV/0!</v>
      </c>
      <c r="AA19" s="25" t="str">
        <f t="shared" si="6"/>
        <v>#DIV/0!</v>
      </c>
      <c r="AB19" s="23">
        <f t="shared" si="7"/>
        <v>-1868.48</v>
      </c>
      <c r="AC19" s="24" t="str">
        <f t="shared" si="8"/>
        <v>#DIV/0!</v>
      </c>
      <c r="AD19" s="25" t="str">
        <f t="shared" si="9"/>
        <v>#DIV/0!</v>
      </c>
      <c r="AE19" s="26">
        <f>P19*(1-I19)*(1+'参数表'!$C$6)*(W19+X19+H19)*1.1+0.4*1.1</f>
        <v>0.44</v>
      </c>
      <c r="AF19" s="26">
        <f t="shared" si="10"/>
        <v>0.44</v>
      </c>
    </row>
    <row r="20">
      <c r="A20" s="28" t="s">
        <v>93</v>
      </c>
      <c r="B20" s="29"/>
      <c r="C20" s="30" t="s">
        <v>94</v>
      </c>
      <c r="D20" s="2" t="s">
        <v>61</v>
      </c>
      <c r="E20" s="14"/>
      <c r="F20" s="14"/>
      <c r="G20" s="34" t="s">
        <v>95</v>
      </c>
      <c r="H20" s="3">
        <v>0.05</v>
      </c>
      <c r="I20" s="3">
        <v>0.0</v>
      </c>
      <c r="J20" s="15">
        <v>961.0</v>
      </c>
      <c r="K20" s="16">
        <v>150.0</v>
      </c>
      <c r="L20" s="16">
        <v>34.0</v>
      </c>
      <c r="M20" s="16">
        <v>24.0</v>
      </c>
      <c r="N20" s="16">
        <v>2.0</v>
      </c>
      <c r="O20" s="17">
        <f t="shared" si="1"/>
        <v>204</v>
      </c>
      <c r="P20" s="18">
        <v>21.8</v>
      </c>
      <c r="Q20" s="6">
        <f t="array" ref="Q20">XLOOKUP(K20/1000, '运费（邮政）'!$A$2:$A$21, '运费（邮政）'!$B$2:$B$21, "超出范围", 1)</f>
        <v>1060</v>
      </c>
      <c r="R20" s="18">
        <v>12.99</v>
      </c>
      <c r="S20" s="19">
        <f t="shared" si="2"/>
        <v>7.479301127</v>
      </c>
      <c r="T20" s="20">
        <f t="shared" si="3"/>
        <v>34.79</v>
      </c>
      <c r="U20" s="21">
        <f t="array" ref="U20">XLOOKUP(O20/1000, '运费（橙联）'!$A$2:$A$57, '运费（橙联）'!$B$2:$B$57, "超出范围", 1)</f>
        <v>1581</v>
      </c>
      <c r="V20" s="22">
        <f>(P20*'参数表'!$C$2*(1+'参数表'!$C$3))*$B$1+'参数表'!$C$4</f>
        <v>541.06076</v>
      </c>
      <c r="W20" s="3">
        <v>0.127</v>
      </c>
      <c r="X20" s="4">
        <v>0.0135</v>
      </c>
      <c r="Y20" s="23">
        <f t="shared" si="4"/>
        <v>298.568722</v>
      </c>
      <c r="Z20" s="24">
        <f t="shared" si="5"/>
        <v>0.09644938687</v>
      </c>
      <c r="AA20" s="25">
        <f t="shared" si="6"/>
        <v>0.3106854547</v>
      </c>
      <c r="AB20" s="23">
        <f t="shared" si="7"/>
        <v>694.556223</v>
      </c>
      <c r="AC20" s="24">
        <f t="shared" si="8"/>
        <v>0.1405933029</v>
      </c>
      <c r="AD20" s="25">
        <f t="shared" si="9"/>
        <v>0.7227432081</v>
      </c>
      <c r="AE20" s="26">
        <f>P20*(1-I20)*(1+'参数表'!$C$6)*(W20+X20+H20)*1.1+0.4*1.1</f>
        <v>5.465009</v>
      </c>
      <c r="AF20" s="26">
        <f t="shared" si="10"/>
        <v>8.1870635</v>
      </c>
    </row>
    <row r="21">
      <c r="A21" s="28" t="s">
        <v>96</v>
      </c>
      <c r="B21" s="29"/>
      <c r="C21" s="30" t="s">
        <v>97</v>
      </c>
      <c r="D21" s="2" t="s">
        <v>61</v>
      </c>
      <c r="E21" s="14"/>
      <c r="F21" s="14"/>
      <c r="G21" s="34" t="s">
        <v>98</v>
      </c>
      <c r="H21" s="3">
        <v>0.05</v>
      </c>
      <c r="I21" s="3">
        <v>0.0</v>
      </c>
      <c r="J21" s="15">
        <v>1980.0</v>
      </c>
      <c r="K21" s="16">
        <v>210.0</v>
      </c>
      <c r="L21" s="16">
        <v>34.0</v>
      </c>
      <c r="M21" s="16">
        <v>24.0</v>
      </c>
      <c r="N21" s="16">
        <v>2.0</v>
      </c>
      <c r="O21" s="17">
        <f t="shared" si="1"/>
        <v>210</v>
      </c>
      <c r="P21" s="18">
        <v>37.9</v>
      </c>
      <c r="Q21" s="6">
        <f t="array" ref="Q21">XLOOKUP(K21/1000, '运费（邮政）'!$A$2:$A$21, '运费（邮政）'!$B$2:$B$21, "超出范围", 1)</f>
        <v>1240</v>
      </c>
      <c r="R21" s="18">
        <v>12.99</v>
      </c>
      <c r="S21" s="19">
        <f t="shared" si="2"/>
        <v>7.855505493</v>
      </c>
      <c r="T21" s="20">
        <f t="shared" si="3"/>
        <v>50.89</v>
      </c>
      <c r="U21" s="21">
        <f t="array" ref="U21">XLOOKUP(O21/1000, '运费（橙联）'!$A$2:$A$57, '运费（橙联）'!$B$2:$B$57, "超出范围", 1)</f>
        <v>1581</v>
      </c>
      <c r="V21" s="22">
        <f>(P21*'参数表'!$C$2*(1+'参数表'!$C$3))*$B$1+'参数表'!$C$4</f>
        <v>774.48178</v>
      </c>
      <c r="W21" s="3">
        <v>0.127</v>
      </c>
      <c r="X21" s="4">
        <v>0.0135</v>
      </c>
      <c r="Y21" s="23">
        <f t="shared" si="4"/>
        <v>858.788191</v>
      </c>
      <c r="Z21" s="24">
        <f t="shared" si="5"/>
        <v>0.1595726692</v>
      </c>
      <c r="AA21" s="25">
        <f t="shared" si="6"/>
        <v>0.4337314096</v>
      </c>
      <c r="AB21" s="23">
        <f t="shared" si="7"/>
        <v>1201.354672</v>
      </c>
      <c r="AC21" s="24">
        <f t="shared" si="8"/>
        <v>0.1662457097</v>
      </c>
      <c r="AD21" s="25">
        <f t="shared" si="9"/>
        <v>0.6067447838</v>
      </c>
      <c r="AE21" s="26">
        <f>P21*(1-I21)*(1+'参数表'!$C$6)*(W21+X21+H21)*1.1+0.4*1.1</f>
        <v>9.1761395</v>
      </c>
      <c r="AF21" s="26">
        <f t="shared" si="10"/>
        <v>11.898194</v>
      </c>
    </row>
    <row r="22">
      <c r="A22" s="29" t="s">
        <v>99</v>
      </c>
      <c r="B22" s="29"/>
      <c r="C22" s="30" t="s">
        <v>100</v>
      </c>
      <c r="D22" s="2" t="s">
        <v>61</v>
      </c>
      <c r="E22" s="14"/>
      <c r="F22" s="14"/>
      <c r="G22" s="34" t="s">
        <v>101</v>
      </c>
      <c r="H22" s="3">
        <v>0.05</v>
      </c>
      <c r="I22" s="3">
        <v>0.0</v>
      </c>
      <c r="J22" s="15">
        <v>1900.0</v>
      </c>
      <c r="K22" s="16">
        <v>380.0</v>
      </c>
      <c r="L22" s="16">
        <v>34.0</v>
      </c>
      <c r="M22" s="16">
        <v>24.0</v>
      </c>
      <c r="N22" s="16">
        <v>2.0</v>
      </c>
      <c r="O22" s="17">
        <f t="shared" si="1"/>
        <v>380</v>
      </c>
      <c r="P22" s="18">
        <v>37.8</v>
      </c>
      <c r="Q22" s="6">
        <f t="array" ref="Q22">XLOOKUP(K22/1000, '运费（邮政）'!$A$2:$A$21, '运费（邮政）'!$B$2:$B$21, "超出范围", 1)</f>
        <v>1420</v>
      </c>
      <c r="R22" s="18">
        <v>12.99</v>
      </c>
      <c r="S22" s="19">
        <f t="shared" si="2"/>
        <v>7.965013803</v>
      </c>
      <c r="T22" s="20">
        <f t="shared" si="3"/>
        <v>50.79</v>
      </c>
      <c r="U22" s="21">
        <f t="array" ref="U22">XLOOKUP(O22/1000, '运费（橙联）'!$A$2:$A$57, '运费（橙联）'!$B$2:$B$57, "超出范围", 1)</f>
        <v>1778</v>
      </c>
      <c r="V22" s="22">
        <f>(P22*'参数表'!$C$2*(1+'参数表'!$C$3))*$B$1+'参数表'!$C$4</f>
        <v>773.03196</v>
      </c>
      <c r="W22" s="3">
        <v>0.127</v>
      </c>
      <c r="X22" s="4">
        <v>0.0135</v>
      </c>
      <c r="Y22" s="23">
        <f t="shared" si="4"/>
        <v>747.861362</v>
      </c>
      <c r="Z22" s="24">
        <f t="shared" si="5"/>
        <v>0.1393288177</v>
      </c>
      <c r="AA22" s="25">
        <f t="shared" si="6"/>
        <v>0.3936112432</v>
      </c>
      <c r="AB22" s="23">
        <f t="shared" si="7"/>
        <v>1074.877663</v>
      </c>
      <c r="AC22" s="24">
        <f t="shared" si="8"/>
        <v>0.1490364443</v>
      </c>
      <c r="AD22" s="25">
        <f t="shared" si="9"/>
        <v>0.5657250858</v>
      </c>
      <c r="AE22" s="26">
        <f>P22*(1-I22)*(1+'参数表'!$C$6)*(W22+X22+H22)*1.1+0.4*1.1</f>
        <v>9.153089</v>
      </c>
      <c r="AF22" s="26">
        <f t="shared" si="10"/>
        <v>11.8751435</v>
      </c>
    </row>
    <row r="23">
      <c r="A23" s="41" t="s">
        <v>102</v>
      </c>
      <c r="B23" s="29"/>
      <c r="C23" s="30" t="s">
        <v>103</v>
      </c>
      <c r="D23" s="2" t="s">
        <v>61</v>
      </c>
      <c r="E23" s="14"/>
      <c r="F23" s="14"/>
      <c r="G23" s="34" t="s">
        <v>104</v>
      </c>
      <c r="H23" s="3">
        <v>0.05</v>
      </c>
      <c r="I23" s="3">
        <v>0.0</v>
      </c>
      <c r="J23" s="15">
        <v>1900.0</v>
      </c>
      <c r="K23" s="16">
        <v>380.0</v>
      </c>
      <c r="L23" s="16">
        <v>34.0</v>
      </c>
      <c r="M23" s="16">
        <v>24.0</v>
      </c>
      <c r="N23" s="16">
        <v>2.0</v>
      </c>
      <c r="O23" s="17">
        <f t="shared" si="1"/>
        <v>380</v>
      </c>
      <c r="P23" s="18">
        <v>37.8</v>
      </c>
      <c r="Q23" s="6">
        <f t="array" ref="Q23">XLOOKUP(K23/1000, '运费（邮政）'!$A$2:$A$21, '运费（邮政）'!$B$2:$B$21, "超出范围", 1)</f>
        <v>1420</v>
      </c>
      <c r="R23" s="18">
        <v>12.99</v>
      </c>
      <c r="S23" s="19">
        <f t="shared" si="2"/>
        <v>7.965013803</v>
      </c>
      <c r="T23" s="20">
        <f t="shared" si="3"/>
        <v>50.79</v>
      </c>
      <c r="U23" s="21">
        <f t="array" ref="U23">XLOOKUP(O23/1000, '运费（橙联）'!$A$2:$A$57, '运费（橙联）'!$B$2:$B$57, "超出范围", 1)</f>
        <v>1778</v>
      </c>
      <c r="V23" s="22">
        <f>(P23*'参数表'!$C$2*(1+'参数表'!$C$3))*$B$1+'参数表'!$C$4</f>
        <v>773.03196</v>
      </c>
      <c r="W23" s="3">
        <v>0.127</v>
      </c>
      <c r="X23" s="4">
        <v>0.0135</v>
      </c>
      <c r="Y23" s="23">
        <f t="shared" si="4"/>
        <v>747.861362</v>
      </c>
      <c r="Z23" s="24">
        <f t="shared" si="5"/>
        <v>0.1393288177</v>
      </c>
      <c r="AA23" s="25">
        <f t="shared" si="6"/>
        <v>0.3936112432</v>
      </c>
      <c r="AB23" s="23">
        <f t="shared" si="7"/>
        <v>1074.877663</v>
      </c>
      <c r="AC23" s="24">
        <f t="shared" si="8"/>
        <v>0.1490364443</v>
      </c>
      <c r="AD23" s="25">
        <f t="shared" si="9"/>
        <v>0.5657250858</v>
      </c>
      <c r="AE23" s="26">
        <f>P23*(1-I23)*(1+'参数表'!$C$6)*(W23+X23+H23)*1.1+0.4*1.1</f>
        <v>9.153089</v>
      </c>
      <c r="AF23" s="26">
        <f t="shared" si="10"/>
        <v>11.8751435</v>
      </c>
    </row>
    <row r="24">
      <c r="A24" s="42" t="s">
        <v>105</v>
      </c>
      <c r="B24" s="29"/>
      <c r="C24" s="30" t="s">
        <v>106</v>
      </c>
      <c r="D24" s="2" t="s">
        <v>61</v>
      </c>
      <c r="E24" s="14"/>
      <c r="F24" s="14"/>
      <c r="G24" s="43" t="s">
        <v>107</v>
      </c>
      <c r="H24" s="3">
        <v>0.05</v>
      </c>
      <c r="I24" s="3">
        <v>0.0</v>
      </c>
      <c r="J24" s="15">
        <v>110.0</v>
      </c>
      <c r="K24" s="16">
        <v>30.0</v>
      </c>
      <c r="L24" s="16">
        <v>34.0</v>
      </c>
      <c r="M24" s="16">
        <v>24.0</v>
      </c>
      <c r="N24" s="16">
        <v>2.0</v>
      </c>
      <c r="O24" s="17">
        <f t="shared" si="1"/>
        <v>204</v>
      </c>
      <c r="P24" s="18">
        <v>15.43</v>
      </c>
      <c r="Q24" s="6">
        <f t="array" ref="Q24">XLOOKUP(K24/1000, '运费（邮政）'!$A$2:$A$21, '运费（邮政）'!$B$2:$B$21, "超出范围", 1)</f>
        <v>880</v>
      </c>
      <c r="R24" s="18">
        <v>9.99</v>
      </c>
      <c r="S24" s="19">
        <f t="shared" si="2"/>
        <v>8.096529761</v>
      </c>
      <c r="T24" s="20">
        <f t="shared" si="3"/>
        <v>25.42</v>
      </c>
      <c r="U24" s="21">
        <f t="array" ref="U24">XLOOKUP(O24/1000, '运费（橙联）'!$A$2:$A$57, '运费（橙联）'!$B$2:$B$57, "超出范围", 1)</f>
        <v>1581</v>
      </c>
      <c r="V24" s="22">
        <f>(P24*'参数表'!$C$2*(1+'参数表'!$C$3))*$B$1+'参数表'!$C$4</f>
        <v>448.707226</v>
      </c>
      <c r="W24" s="3">
        <v>0.127</v>
      </c>
      <c r="X24" s="4">
        <v>0.0135</v>
      </c>
      <c r="Y24" s="23">
        <f t="shared" si="4"/>
        <v>633.5297147</v>
      </c>
      <c r="Z24" s="24">
        <f t="shared" si="5"/>
        <v>0.2891430242</v>
      </c>
      <c r="AA24" s="25">
        <f t="shared" si="6"/>
        <v>5.759361043</v>
      </c>
      <c r="AB24" s="23">
        <f t="shared" si="7"/>
        <v>605.1390497</v>
      </c>
      <c r="AC24" s="24">
        <f t="shared" si="8"/>
        <v>0.1676452637</v>
      </c>
      <c r="AD24" s="25">
        <f t="shared" si="9"/>
        <v>5.501264088</v>
      </c>
      <c r="AE24" s="26">
        <f>P24*(1-I24)*(1+'参数表'!$C$6)*(W24+X24+H24)*1.1+0.4*1.1</f>
        <v>3.99669215</v>
      </c>
      <c r="AF24" s="26">
        <f t="shared" si="10"/>
        <v>6.09009665</v>
      </c>
    </row>
    <row r="25">
      <c r="A25" s="44" t="s">
        <v>108</v>
      </c>
      <c r="C25" s="30" t="s">
        <v>109</v>
      </c>
      <c r="D25" s="2" t="s">
        <v>61</v>
      </c>
      <c r="E25" s="14"/>
      <c r="F25" s="14"/>
      <c r="G25" s="38" t="s">
        <v>110</v>
      </c>
      <c r="H25" s="3">
        <v>0.05</v>
      </c>
      <c r="I25" s="3">
        <v>0.0</v>
      </c>
      <c r="J25" s="15">
        <v>3056.0</v>
      </c>
      <c r="K25" s="16">
        <v>210.0</v>
      </c>
      <c r="L25" s="16">
        <v>14.1</v>
      </c>
      <c r="M25" s="16">
        <v>12.4</v>
      </c>
      <c r="N25" s="16">
        <v>1.3</v>
      </c>
      <c r="O25" s="17">
        <f t="shared" si="1"/>
        <v>210</v>
      </c>
      <c r="P25" s="18">
        <v>49.8</v>
      </c>
      <c r="Q25" s="6">
        <f t="array" ref="Q25">XLOOKUP(K25/1000, '运费（邮政）'!$A$2:$A$21, '运费（邮政）'!$B$2:$B$21, "超出范围", 1)</f>
        <v>1240</v>
      </c>
      <c r="R25" s="18">
        <v>15.99</v>
      </c>
      <c r="S25" s="19">
        <f t="shared" si="2"/>
        <v>9.070495493</v>
      </c>
      <c r="T25" s="20">
        <f t="shared" si="3"/>
        <v>65.79</v>
      </c>
      <c r="U25" s="21">
        <f t="array" ref="U25">XLOOKUP(O25/1000, '运费（橙联）'!$A$2:$A$57, '运费（橙联）'!$B$2:$B$57, "超出范围", 1)</f>
        <v>1581</v>
      </c>
      <c r="V25" s="22">
        <f>(P25*'参数表'!$C$2*(1+'参数表'!$C$3))*$B$1+'参数表'!$C$4</f>
        <v>947.01036</v>
      </c>
      <c r="W25" s="3">
        <v>0.153</v>
      </c>
      <c r="X25" s="4">
        <v>0.0135</v>
      </c>
      <c r="Y25" s="23">
        <f t="shared" si="4"/>
        <v>860.608306</v>
      </c>
      <c r="Z25" s="24">
        <f t="shared" si="5"/>
        <v>0.1216992344</v>
      </c>
      <c r="AA25" s="25">
        <f t="shared" si="6"/>
        <v>0.2816126656</v>
      </c>
      <c r="AB25" s="23">
        <f t="shared" si="7"/>
        <v>1302.439319</v>
      </c>
      <c r="AC25" s="24">
        <f t="shared" si="8"/>
        <v>0.1394149245</v>
      </c>
      <c r="AD25" s="25">
        <f t="shared" si="9"/>
        <v>0.4261908766</v>
      </c>
      <c r="AE25" s="26">
        <f>P25*(1-I25)*(1+'参数表'!$C$6)*(W25+X25+H25)*1.1+0.4*1.1</f>
        <v>13.485857</v>
      </c>
      <c r="AF25" s="26">
        <f t="shared" si="10"/>
        <v>17.2938755</v>
      </c>
    </row>
    <row r="26">
      <c r="A26" s="44" t="s">
        <v>111</v>
      </c>
      <c r="C26" s="30" t="s">
        <v>112</v>
      </c>
      <c r="D26" s="2" t="s">
        <v>61</v>
      </c>
      <c r="E26" s="14"/>
      <c r="F26" s="14"/>
      <c r="G26" s="38" t="s">
        <v>113</v>
      </c>
      <c r="H26" s="3">
        <v>0.05</v>
      </c>
      <c r="I26" s="3">
        <v>0.0</v>
      </c>
      <c r="J26" s="15">
        <v>3100.0</v>
      </c>
      <c r="K26" s="16">
        <v>210.0</v>
      </c>
      <c r="L26" s="16">
        <v>14.1</v>
      </c>
      <c r="M26" s="16">
        <v>12.4</v>
      </c>
      <c r="N26" s="16">
        <v>1.3</v>
      </c>
      <c r="O26" s="17">
        <f t="shared" si="1"/>
        <v>210</v>
      </c>
      <c r="P26" s="18">
        <v>49.8</v>
      </c>
      <c r="Q26" s="6">
        <f t="array" ref="Q26">XLOOKUP(K26/1000, '运费（邮政）'!$A$2:$A$21, '运费（邮政）'!$B$2:$B$21, "超出范围", 1)</f>
        <v>1240</v>
      </c>
      <c r="R26" s="18">
        <v>15.99</v>
      </c>
      <c r="S26" s="19">
        <f t="shared" si="2"/>
        <v>9.070495493</v>
      </c>
      <c r="T26" s="20">
        <f t="shared" si="3"/>
        <v>65.79</v>
      </c>
      <c r="U26" s="21">
        <f t="array" ref="U26">XLOOKUP(O26/1000, '运费（橙联）'!$A$2:$A$57, '运费（橙联）'!$B$2:$B$57, "超出范围", 1)</f>
        <v>1581</v>
      </c>
      <c r="V26" s="22">
        <f>(P26*'参数表'!$C$2*(1+'参数表'!$C$3))*$B$1+'参数表'!$C$4</f>
        <v>947.01036</v>
      </c>
      <c r="W26" s="3">
        <v>0.153</v>
      </c>
      <c r="X26" s="4">
        <v>0.0135</v>
      </c>
      <c r="Y26" s="23">
        <f t="shared" si="4"/>
        <v>816.608306</v>
      </c>
      <c r="Z26" s="24">
        <f t="shared" si="5"/>
        <v>0.115477163</v>
      </c>
      <c r="AA26" s="25">
        <f t="shared" si="6"/>
        <v>0.2634220342</v>
      </c>
      <c r="AB26" s="23">
        <f t="shared" si="7"/>
        <v>1258.439319</v>
      </c>
      <c r="AC26" s="24">
        <f t="shared" si="8"/>
        <v>0.134705103</v>
      </c>
      <c r="AD26" s="25">
        <f t="shared" si="9"/>
        <v>0.4059481674</v>
      </c>
      <c r="AE26" s="26">
        <f>P26*(1-I26)*(1+'参数表'!$C$6)*(W26+X26+H26)*1.1+0.4*1.1</f>
        <v>13.485857</v>
      </c>
      <c r="AF26" s="26">
        <f t="shared" si="10"/>
        <v>17.2938755</v>
      </c>
    </row>
    <row r="27">
      <c r="A27" s="44" t="s">
        <v>114</v>
      </c>
      <c r="C27" s="30" t="s">
        <v>115</v>
      </c>
      <c r="D27" s="2" t="s">
        <v>61</v>
      </c>
      <c r="E27" s="14"/>
      <c r="F27" s="14"/>
      <c r="G27" s="38" t="s">
        <v>116</v>
      </c>
      <c r="H27" s="3">
        <v>0.05</v>
      </c>
      <c r="I27" s="3">
        <v>0.0</v>
      </c>
      <c r="J27" s="15">
        <v>2075.0</v>
      </c>
      <c r="K27" s="16">
        <v>210.0</v>
      </c>
      <c r="L27" s="16">
        <v>28.5</v>
      </c>
      <c r="M27" s="16">
        <v>20.0</v>
      </c>
      <c r="N27" s="16">
        <v>2.0</v>
      </c>
      <c r="O27" s="17">
        <f t="shared" si="1"/>
        <v>210</v>
      </c>
      <c r="P27" s="18">
        <v>37.9</v>
      </c>
      <c r="Q27" s="6">
        <f t="array" ref="Q27">XLOOKUP(K27/1000, '运费（邮政）'!$A$2:$A$21, '运费（邮政）'!$B$2:$B$21, "超出范围", 1)</f>
        <v>1240</v>
      </c>
      <c r="R27" s="18">
        <v>12.99</v>
      </c>
      <c r="S27" s="19">
        <f t="shared" si="2"/>
        <v>7.855505493</v>
      </c>
      <c r="T27" s="20">
        <f t="shared" si="3"/>
        <v>50.89</v>
      </c>
      <c r="U27" s="21">
        <f t="array" ref="U27">XLOOKUP(O27/1000, '运费（橙联）'!$A$2:$A$57, '运费（橙联）'!$B$2:$B$57, "超出范围", 1)</f>
        <v>1581</v>
      </c>
      <c r="V27" s="22">
        <f>(P27*'参数表'!$C$2*(1+'参数表'!$C$3))*$B$1+'参数表'!$C$4</f>
        <v>774.48178</v>
      </c>
      <c r="W27" s="3">
        <v>0.153</v>
      </c>
      <c r="X27" s="4">
        <v>0.0135</v>
      </c>
      <c r="Y27" s="23">
        <f t="shared" si="4"/>
        <v>594.476763</v>
      </c>
      <c r="Z27" s="24">
        <f t="shared" si="5"/>
        <v>0.1104605825</v>
      </c>
      <c r="AA27" s="25">
        <f t="shared" si="6"/>
        <v>0.2864948255</v>
      </c>
      <c r="AB27" s="23">
        <f t="shared" si="7"/>
        <v>884.288256</v>
      </c>
      <c r="AC27" s="24">
        <f t="shared" si="8"/>
        <v>0.1223694652</v>
      </c>
      <c r="AD27" s="25">
        <f t="shared" si="9"/>
        <v>0.4261630149</v>
      </c>
      <c r="AE27" s="26">
        <f>P27*(1-I27)*(1+'参数表'!$C$6)*(W27+X27+H27)*1.1+0.4*1.1</f>
        <v>10.3684735</v>
      </c>
      <c r="AF27" s="26">
        <f t="shared" si="10"/>
        <v>13.462042</v>
      </c>
    </row>
    <row r="28">
      <c r="A28" s="44" t="s">
        <v>117</v>
      </c>
      <c r="C28" s="30" t="s">
        <v>118</v>
      </c>
      <c r="D28" s="2" t="s">
        <v>61</v>
      </c>
      <c r="E28" s="14"/>
      <c r="F28" s="14"/>
      <c r="G28" s="45" t="s">
        <v>119</v>
      </c>
      <c r="H28" s="3">
        <v>0.05</v>
      </c>
      <c r="I28" s="3">
        <v>0.0</v>
      </c>
      <c r="J28" s="15">
        <v>2970.0</v>
      </c>
      <c r="K28" s="16">
        <v>210.0</v>
      </c>
      <c r="L28" s="16">
        <v>14.2</v>
      </c>
      <c r="M28" s="16">
        <v>12.6</v>
      </c>
      <c r="N28" s="16">
        <v>0.7</v>
      </c>
      <c r="O28" s="17">
        <f t="shared" si="1"/>
        <v>210</v>
      </c>
      <c r="P28" s="18">
        <v>49.8</v>
      </c>
      <c r="Q28" s="6">
        <f t="array" ref="Q28">XLOOKUP(K28/1000, '运费（邮政）'!$A$2:$A$21, '运费（邮政）'!$B$2:$B$21, "超出范围", 1)</f>
        <v>1240</v>
      </c>
      <c r="R28" s="18">
        <v>15.99</v>
      </c>
      <c r="S28" s="19">
        <f t="shared" si="2"/>
        <v>9.070495493</v>
      </c>
      <c r="T28" s="20">
        <f t="shared" si="3"/>
        <v>65.79</v>
      </c>
      <c r="U28" s="21">
        <f t="array" ref="U28">XLOOKUP(O28/1000, '运费（橙联）'!$A$2:$A$57, '运费（橙联）'!$B$2:$B$57, "超出范围", 1)</f>
        <v>1581</v>
      </c>
      <c r="V28" s="22">
        <f>(P28*'参数表'!$C$2*(1+'参数表'!$C$3))*$B$1+'参数表'!$C$4</f>
        <v>947.01036</v>
      </c>
      <c r="W28" s="3">
        <v>0.153</v>
      </c>
      <c r="X28" s="4">
        <v>0.0135</v>
      </c>
      <c r="Y28" s="23">
        <f t="shared" si="4"/>
        <v>946.608306</v>
      </c>
      <c r="Z28" s="24">
        <f t="shared" si="5"/>
        <v>0.1338605557</v>
      </c>
      <c r="AA28" s="25">
        <f t="shared" si="6"/>
        <v>0.3187233354</v>
      </c>
      <c r="AB28" s="23">
        <f t="shared" si="7"/>
        <v>1388.439319</v>
      </c>
      <c r="AC28" s="24">
        <f t="shared" si="8"/>
        <v>0.1486204846</v>
      </c>
      <c r="AD28" s="25">
        <f t="shared" si="9"/>
        <v>0.4674879862</v>
      </c>
      <c r="AE28" s="26">
        <f>P28*(1-I28)*(1+'参数表'!$C$6)*(W28+X28+H28)*1.1+0.4*1.1</f>
        <v>13.485857</v>
      </c>
      <c r="AF28" s="26">
        <f t="shared" si="10"/>
        <v>17.2938755</v>
      </c>
    </row>
    <row r="29">
      <c r="A29" s="44" t="s">
        <v>120</v>
      </c>
      <c r="C29" s="30" t="s">
        <v>121</v>
      </c>
      <c r="D29" s="2" t="s">
        <v>61</v>
      </c>
      <c r="E29" s="14"/>
      <c r="F29" s="14"/>
      <c r="G29" s="45" t="s">
        <v>122</v>
      </c>
      <c r="H29" s="3">
        <v>0.05</v>
      </c>
      <c r="I29" s="3">
        <v>0.0</v>
      </c>
      <c r="J29" s="15">
        <v>4950.0</v>
      </c>
      <c r="K29" s="16">
        <v>210.0</v>
      </c>
      <c r="L29" s="16">
        <v>14.1</v>
      </c>
      <c r="M29" s="16">
        <v>12.4</v>
      </c>
      <c r="N29" s="16">
        <v>0.9</v>
      </c>
      <c r="O29" s="17">
        <f t="shared" si="1"/>
        <v>210</v>
      </c>
      <c r="P29" s="18">
        <v>74.8</v>
      </c>
      <c r="Q29" s="6">
        <f t="array" ref="Q29">XLOOKUP(K29/1000, '运费（邮政）'!$A$2:$A$21, '运费（邮政）'!$B$2:$B$21, "超出范围", 1)</f>
        <v>1240</v>
      </c>
      <c r="R29" s="18">
        <v>21.99</v>
      </c>
      <c r="S29" s="19">
        <f t="shared" si="2"/>
        <v>11.62299549</v>
      </c>
      <c r="T29" s="20">
        <f t="shared" si="3"/>
        <v>96.79</v>
      </c>
      <c r="U29" s="21">
        <f t="array" ref="U29">XLOOKUP(O29/1000, '运费（橙联）'!$A$2:$A$57, '运费（橙联）'!$B$2:$B$57, "超出范围", 1)</f>
        <v>1581</v>
      </c>
      <c r="V29" s="22">
        <f>(P29*'参数表'!$C$2*(1+'参数表'!$C$3))*$B$1+'参数表'!$C$4</f>
        <v>1309.46536</v>
      </c>
      <c r="W29" s="3">
        <v>0.153</v>
      </c>
      <c r="X29" s="4">
        <v>0.0135</v>
      </c>
      <c r="Y29" s="23">
        <f t="shared" si="4"/>
        <v>1586.632556</v>
      </c>
      <c r="Z29" s="24">
        <f t="shared" si="5"/>
        <v>0.1493779239</v>
      </c>
      <c r="AA29" s="25">
        <f t="shared" si="6"/>
        <v>0.3205318295</v>
      </c>
      <c r="AB29" s="23">
        <f t="shared" si="7"/>
        <v>2315.104769</v>
      </c>
      <c r="AC29" s="24">
        <f t="shared" si="8"/>
        <v>0.1684425531</v>
      </c>
      <c r="AD29" s="25">
        <f t="shared" si="9"/>
        <v>0.4676979331</v>
      </c>
      <c r="AE29" s="26">
        <f>P29*(1-I29)*(1+'参数表'!$C$6)*(W29+X29+H29)*1.1+0.4*1.1</f>
        <v>20.034982</v>
      </c>
      <c r="AF29" s="26">
        <f t="shared" si="10"/>
        <v>25.2719005</v>
      </c>
    </row>
    <row r="30">
      <c r="A30" s="44" t="s">
        <v>123</v>
      </c>
      <c r="C30" s="30" t="s">
        <v>124</v>
      </c>
      <c r="D30" s="2" t="s">
        <v>61</v>
      </c>
      <c r="E30" s="14"/>
      <c r="F30" s="14"/>
      <c r="G30" s="45" t="s">
        <v>125</v>
      </c>
      <c r="H30" s="3">
        <v>0.05</v>
      </c>
      <c r="I30" s="3">
        <v>0.0</v>
      </c>
      <c r="J30" s="15">
        <v>3232.0</v>
      </c>
      <c r="K30" s="16">
        <v>610.0</v>
      </c>
      <c r="L30" s="16">
        <v>34.0</v>
      </c>
      <c r="M30" s="16">
        <v>24.0</v>
      </c>
      <c r="N30" s="16">
        <v>2.0</v>
      </c>
      <c r="O30" s="17">
        <f t="shared" si="1"/>
        <v>610</v>
      </c>
      <c r="P30" s="18">
        <v>58.8</v>
      </c>
      <c r="Q30" s="6">
        <f t="array" ref="Q30">XLOOKUP(K30/1000, '运费（邮政）'!$A$2:$A$21, '运费（邮政）'!$B$2:$B$21, "超出范围", 1)</f>
        <v>1960</v>
      </c>
      <c r="R30" s="18">
        <v>18.99</v>
      </c>
      <c r="S30" s="19">
        <f t="shared" si="2"/>
        <v>10.13024056</v>
      </c>
      <c r="T30" s="20">
        <f t="shared" si="3"/>
        <v>77.79</v>
      </c>
      <c r="U30" s="21">
        <f t="array" ref="U30">XLOOKUP(O30/1000, '运费（橙联）'!$A$2:$A$57, '运费（橙联）'!$B$2:$B$57, "超出范围", 1)</f>
        <v>2321</v>
      </c>
      <c r="V30" s="22">
        <f>(P30*'参数表'!$C$2*(1+'参数表'!$C$3))*$B$1+'参数表'!$C$4</f>
        <v>1077.49416</v>
      </c>
      <c r="W30" s="3">
        <v>0.153</v>
      </c>
      <c r="X30" s="4">
        <v>0.0135</v>
      </c>
      <c r="Y30" s="23">
        <f t="shared" si="4"/>
        <v>907.817036</v>
      </c>
      <c r="Z30" s="24">
        <f t="shared" si="5"/>
        <v>0.1087258115</v>
      </c>
      <c r="AA30" s="25">
        <f t="shared" si="6"/>
        <v>0.2808839839</v>
      </c>
      <c r="AB30" s="23">
        <f t="shared" si="7"/>
        <v>1523.712349</v>
      </c>
      <c r="AC30" s="24">
        <f t="shared" si="8"/>
        <v>0.1379402064</v>
      </c>
      <c r="AD30" s="25">
        <f t="shared" si="9"/>
        <v>0.4714456525</v>
      </c>
      <c r="AE30" s="26">
        <f>P30*(1-I30)*(1+'参数表'!$C$6)*(W30+X30+H30)*1.1+0.4*1.1</f>
        <v>15.843542</v>
      </c>
      <c r="AF30" s="26">
        <f t="shared" si="10"/>
        <v>20.3660105</v>
      </c>
    </row>
    <row r="31">
      <c r="A31" s="44" t="s">
        <v>126</v>
      </c>
      <c r="C31" s="30" t="s">
        <v>127</v>
      </c>
      <c r="D31" s="2" t="s">
        <v>61</v>
      </c>
      <c r="E31" s="14"/>
      <c r="F31" s="14"/>
      <c r="G31" s="43" t="s">
        <v>128</v>
      </c>
      <c r="H31" s="3">
        <v>0.05</v>
      </c>
      <c r="I31" s="3">
        <v>0.0</v>
      </c>
      <c r="J31" s="15">
        <v>2990.0</v>
      </c>
      <c r="K31" s="16">
        <v>1366.0</v>
      </c>
      <c r="L31" s="16">
        <v>40.0</v>
      </c>
      <c r="M31" s="16">
        <v>25.0</v>
      </c>
      <c r="N31" s="16">
        <v>15.0</v>
      </c>
      <c r="O31" s="17">
        <f t="shared" si="1"/>
        <v>1875</v>
      </c>
      <c r="P31" s="18">
        <v>69.8</v>
      </c>
      <c r="Q31" s="6">
        <f t="array" ref="Q31">XLOOKUP(K31/1000, '运费（邮政）'!$A$2:$A$21, '运费（邮政）'!$B$2:$B$21, "超出范围", 1)</f>
        <v>3220</v>
      </c>
      <c r="R31" s="18">
        <v>25.0</v>
      </c>
      <c r="S31" s="19">
        <f t="shared" si="2"/>
        <v>14.0350307</v>
      </c>
      <c r="T31" s="20">
        <f t="shared" si="3"/>
        <v>94.8</v>
      </c>
      <c r="U31" s="21">
        <f t="array" ref="U31">XLOOKUP(O31/1000, '运费（橙联）'!$A$2:$A$57, '运费（橙联）'!$B$2:$B$57, "超出范围", 1)</f>
        <v>3976</v>
      </c>
      <c r="V31" s="22">
        <f>(P31*'参数表'!$C$2*(1+'参数表'!$C$3))*$B$1+'参数表'!$C$4</f>
        <v>1236.97436</v>
      </c>
      <c r="W31" s="3">
        <v>0.153</v>
      </c>
      <c r="X31" s="4">
        <v>0.0135</v>
      </c>
      <c r="Y31" s="23">
        <f t="shared" si="4"/>
        <v>1042.627706</v>
      </c>
      <c r="Z31" s="24">
        <f t="shared" si="5"/>
        <v>0.1051926738</v>
      </c>
      <c r="AA31" s="25">
        <f t="shared" si="6"/>
        <v>0.3487049184</v>
      </c>
      <c r="AB31" s="23">
        <f t="shared" si="7"/>
        <v>1754.220846</v>
      </c>
      <c r="AC31" s="24">
        <f t="shared" si="8"/>
        <v>0.1303129528</v>
      </c>
      <c r="AD31" s="25">
        <f t="shared" si="9"/>
        <v>0.5866959351</v>
      </c>
      <c r="AE31" s="26">
        <f>P31*(1-I31)*(1+'参数表'!$C$6)*(W31+X31+H31)*1.1+0.4*1.1</f>
        <v>18.725157</v>
      </c>
      <c r="AF31" s="26">
        <f t="shared" si="10"/>
        <v>24.678907</v>
      </c>
    </row>
    <row r="32">
      <c r="A32" s="44" t="s">
        <v>129</v>
      </c>
      <c r="C32" s="30" t="s">
        <v>130</v>
      </c>
      <c r="D32" s="2" t="s">
        <v>61</v>
      </c>
      <c r="E32" s="14"/>
      <c r="F32" s="14"/>
      <c r="G32" s="46"/>
      <c r="H32" s="3">
        <v>0.05</v>
      </c>
      <c r="I32" s="3">
        <v>0.0</v>
      </c>
      <c r="J32" s="15">
        <v>1570.0</v>
      </c>
      <c r="K32" s="16">
        <v>80.0</v>
      </c>
      <c r="L32" s="16">
        <v>28.5</v>
      </c>
      <c r="M32" s="16">
        <v>20.0</v>
      </c>
      <c r="N32" s="16">
        <v>2.0</v>
      </c>
      <c r="O32" s="17">
        <v>2.0</v>
      </c>
      <c r="P32" s="18">
        <v>32.8</v>
      </c>
      <c r="Q32" s="6">
        <f t="array" ref="Q32">XLOOKUP(K32/1000, '运费（邮政）'!$A$2:$A$21, '运费（邮政）'!$B$2:$B$21, "超出范围", 1)</f>
        <v>880</v>
      </c>
      <c r="R32" s="18">
        <v>12.99</v>
      </c>
      <c r="S32" s="19">
        <f t="shared" si="2"/>
        <v>7.377049014</v>
      </c>
      <c r="T32" s="20">
        <f t="shared" si="3"/>
        <v>45.79</v>
      </c>
      <c r="U32" s="21">
        <f t="array" ref="U32">XLOOKUP(O32/1000, '运费（橙联）'!$A$2:$A$57, '运费（橙联）'!$B$2:$B$57, "超出范围", 1)</f>
        <v>1227</v>
      </c>
      <c r="V32" s="22">
        <f>(P32*'参数表'!$C$2*(1+'参数表'!$C$3))*$B$1+'参数表'!$C$4</f>
        <v>700.54096</v>
      </c>
      <c r="W32" s="3">
        <v>0.153</v>
      </c>
      <c r="X32" s="4">
        <v>0.0135</v>
      </c>
      <c r="Y32" s="23">
        <f t="shared" si="4"/>
        <v>924.991816</v>
      </c>
      <c r="Z32" s="24">
        <f t="shared" si="5"/>
        <v>0.1985983803</v>
      </c>
      <c r="AA32" s="25">
        <f t="shared" si="6"/>
        <v>0.5891667618</v>
      </c>
      <c r="AB32" s="23">
        <f t="shared" si="7"/>
        <v>1282.744129</v>
      </c>
      <c r="AC32" s="24">
        <f t="shared" si="8"/>
        <v>0.1972790862</v>
      </c>
      <c r="AD32" s="25">
        <f t="shared" si="9"/>
        <v>0.8170344771</v>
      </c>
      <c r="AE32" s="26">
        <f>P32*(1-I32)*(1+'参数表'!$C$6)*(W32+X32+H32)*1.1+0.4*1.1</f>
        <v>9.032452</v>
      </c>
      <c r="AF32" s="26">
        <f t="shared" si="10"/>
        <v>12.1260205</v>
      </c>
    </row>
    <row r="33">
      <c r="A33" s="44" t="s">
        <v>131</v>
      </c>
      <c r="C33" s="30" t="s">
        <v>132</v>
      </c>
      <c r="D33" s="2" t="s">
        <v>61</v>
      </c>
      <c r="E33" s="14"/>
      <c r="F33" s="14"/>
      <c r="G33" s="46"/>
      <c r="H33" s="3">
        <v>0.05</v>
      </c>
      <c r="I33" s="3">
        <v>0.0</v>
      </c>
      <c r="J33" s="15">
        <v>1520.0</v>
      </c>
      <c r="K33" s="16">
        <v>280.0</v>
      </c>
      <c r="L33" s="16">
        <v>15.0</v>
      </c>
      <c r="M33" s="16">
        <v>10.5</v>
      </c>
      <c r="N33" s="16">
        <v>2.0</v>
      </c>
      <c r="O33" s="17">
        <v>2.0</v>
      </c>
      <c r="P33" s="18">
        <v>32.8</v>
      </c>
      <c r="Q33" s="6">
        <f t="array" ref="Q33">XLOOKUP(K33/1000, '运费（邮政）'!$A$2:$A$21, '运费（邮政）'!$B$2:$B$21, "超出范围", 1)</f>
        <v>1240</v>
      </c>
      <c r="R33" s="18">
        <v>12.99</v>
      </c>
      <c r="S33" s="19">
        <f t="shared" si="2"/>
        <v>4.841837746</v>
      </c>
      <c r="T33" s="20">
        <f t="shared" si="3"/>
        <v>45.79</v>
      </c>
      <c r="U33" s="21">
        <f t="array" ref="U33">XLOOKUP(O33/1000, '运费（橙联）'!$A$2:$A$57, '运费（橙联）'!$B$2:$B$57, "超出范围", 1)</f>
        <v>1227</v>
      </c>
      <c r="V33" s="22">
        <f>(P33*'参数表'!$C$2*(1+'参数表'!$C$3))*$B$1+'参数表'!$C$4</f>
        <v>700.54096</v>
      </c>
      <c r="W33" s="3">
        <v>0.127</v>
      </c>
      <c r="X33" s="4">
        <v>0.0135</v>
      </c>
      <c r="Y33" s="23">
        <f t="shared" si="4"/>
        <v>761.519912</v>
      </c>
      <c r="Z33" s="24">
        <f t="shared" si="5"/>
        <v>0.1635004964</v>
      </c>
      <c r="AA33" s="25">
        <f t="shared" si="6"/>
        <v>0.5009999421</v>
      </c>
      <c r="AB33" s="23">
        <f t="shared" si="7"/>
        <v>1532.027213</v>
      </c>
      <c r="AC33" s="24">
        <f t="shared" si="8"/>
        <v>0.2356174718</v>
      </c>
      <c r="AD33" s="25">
        <f t="shared" si="9"/>
        <v>1.00791264</v>
      </c>
      <c r="AE33" s="26">
        <f>P33*(1-I33)*(1+'参数表'!$C$6)*(W33+X33+H33)*1.1+0.4*1.1</f>
        <v>8.000564</v>
      </c>
      <c r="AF33" s="26">
        <f t="shared" si="10"/>
        <v>10.7226185</v>
      </c>
    </row>
    <row r="34">
      <c r="A34" s="44" t="s">
        <v>133</v>
      </c>
      <c r="C34" s="30" t="s">
        <v>134</v>
      </c>
      <c r="D34" s="2" t="s">
        <v>61</v>
      </c>
      <c r="E34" s="14"/>
      <c r="F34" s="14"/>
      <c r="G34" s="46"/>
      <c r="H34" s="3">
        <v>0.05</v>
      </c>
      <c r="I34" s="3">
        <v>0.0</v>
      </c>
      <c r="J34" s="15">
        <v>1520.0</v>
      </c>
      <c r="K34" s="16">
        <v>110.0</v>
      </c>
      <c r="L34" s="16">
        <v>20.0</v>
      </c>
      <c r="M34" s="16">
        <v>15.0</v>
      </c>
      <c r="N34" s="16">
        <v>0.4</v>
      </c>
      <c r="O34" s="17">
        <f t="shared" ref="O34:O51" si="11">max(L34*M34*N34/8000*1000,K34)</f>
        <v>110</v>
      </c>
      <c r="P34" s="18">
        <v>32.8</v>
      </c>
      <c r="Q34" s="6">
        <f t="array" ref="Q34">XLOOKUP(K34/1000, '运费（邮政）'!$A$2:$A$21, '运费（邮政）'!$B$2:$B$21, "超出范围", 1)</f>
        <v>1060</v>
      </c>
      <c r="R34" s="18">
        <v>12.99</v>
      </c>
      <c r="S34" s="19">
        <f t="shared" si="2"/>
        <v>7.095358873</v>
      </c>
      <c r="T34" s="20">
        <f t="shared" si="3"/>
        <v>45.79</v>
      </c>
      <c r="U34" s="21">
        <f t="array" ref="U34">XLOOKUP(O34/1000, '运费（橙联）'!$A$2:$A$57, '运费（橙联）'!$B$2:$B$57, "超出范围", 1)</f>
        <v>1367</v>
      </c>
      <c r="V34" s="22">
        <f>(P34*'参数表'!$C$2*(1+'参数表'!$C$3))*$B$1+'参数表'!$C$4</f>
        <v>700.54096</v>
      </c>
      <c r="W34" s="3">
        <v>0.127</v>
      </c>
      <c r="X34" s="4">
        <v>0.0135</v>
      </c>
      <c r="Y34" s="23">
        <f t="shared" si="4"/>
        <v>941.519912</v>
      </c>
      <c r="Z34" s="24">
        <f t="shared" si="5"/>
        <v>0.2021470096</v>
      </c>
      <c r="AA34" s="25">
        <f t="shared" si="6"/>
        <v>0.6194209947</v>
      </c>
      <c r="AB34" s="23">
        <f t="shared" si="7"/>
        <v>1392.027213</v>
      </c>
      <c r="AC34" s="24">
        <f t="shared" si="8"/>
        <v>0.2140862315</v>
      </c>
      <c r="AD34" s="25">
        <f t="shared" si="9"/>
        <v>0.915807377</v>
      </c>
      <c r="AE34" s="26">
        <f>P34*(1-I34)*(1+'参数表'!$C$6)*(W34+X34+H34)*1.1+0.4*1.1</f>
        <v>8.000564</v>
      </c>
      <c r="AF34" s="26">
        <f t="shared" si="10"/>
        <v>10.7226185</v>
      </c>
    </row>
    <row r="35">
      <c r="A35" s="44" t="s">
        <v>135</v>
      </c>
      <c r="C35" s="30" t="s">
        <v>136</v>
      </c>
      <c r="D35" s="2" t="s">
        <v>61</v>
      </c>
      <c r="E35" s="14"/>
      <c r="F35" s="14"/>
      <c r="G35" s="46"/>
      <c r="H35" s="3">
        <v>0.05</v>
      </c>
      <c r="I35" s="3">
        <v>0.0</v>
      </c>
      <c r="J35" s="15">
        <v>1680.0</v>
      </c>
      <c r="K35" s="16">
        <v>110.0</v>
      </c>
      <c r="L35" s="16">
        <v>24.0</v>
      </c>
      <c r="M35" s="16">
        <v>35.0</v>
      </c>
      <c r="N35" s="16">
        <v>0.6</v>
      </c>
      <c r="O35" s="17">
        <f t="shared" si="11"/>
        <v>110</v>
      </c>
      <c r="P35" s="18">
        <v>33.6</v>
      </c>
      <c r="Q35" s="6">
        <f t="array" ref="Q35">XLOOKUP(K35/1000, '运费（邮政）'!$A$2:$A$21, '运费（邮政）'!$B$2:$B$21, "超出范围", 1)</f>
        <v>1060</v>
      </c>
      <c r="R35" s="18">
        <v>12.99</v>
      </c>
      <c r="S35" s="19">
        <f t="shared" si="2"/>
        <v>7.177038873</v>
      </c>
      <c r="T35" s="20">
        <f t="shared" si="3"/>
        <v>46.59</v>
      </c>
      <c r="U35" s="21">
        <f t="array" ref="U35">XLOOKUP(O35/1000, '运费（橙联）'!$A$2:$A$57, '运费（橙联）'!$B$2:$B$57, "超出范围", 1)</f>
        <v>1367</v>
      </c>
      <c r="V35" s="22">
        <f>(P35*'参数表'!$C$2*(1+'参数表'!$C$3))*$B$1+'参数表'!$C$4</f>
        <v>712.13952</v>
      </c>
      <c r="W35" s="3">
        <v>0.127</v>
      </c>
      <c r="X35" s="4">
        <v>0.0135</v>
      </c>
      <c r="Y35" s="23">
        <f t="shared" si="4"/>
        <v>868.934544</v>
      </c>
      <c r="Z35" s="24">
        <f t="shared" si="5"/>
        <v>0.1821207545</v>
      </c>
      <c r="AA35" s="25">
        <f t="shared" si="6"/>
        <v>0.5172229429</v>
      </c>
      <c r="AB35" s="23">
        <f t="shared" si="7"/>
        <v>1307.843285</v>
      </c>
      <c r="AC35" s="24">
        <f t="shared" si="8"/>
        <v>0.1976854256</v>
      </c>
      <c r="AD35" s="25">
        <f t="shared" si="9"/>
        <v>0.7784781458</v>
      </c>
      <c r="AE35" s="26">
        <f>P35*(1-I35)*(1+'参数表'!$C$6)*(W35+X35+H35)*1.1+0.4*1.1</f>
        <v>8.184968</v>
      </c>
      <c r="AF35" s="26">
        <f t="shared" si="10"/>
        <v>10.9070225</v>
      </c>
    </row>
    <row r="36">
      <c r="A36" s="44" t="s">
        <v>137</v>
      </c>
      <c r="B36" s="44" t="s">
        <v>138</v>
      </c>
      <c r="C36" s="30" t="s">
        <v>139</v>
      </c>
      <c r="D36" s="2" t="s">
        <v>61</v>
      </c>
      <c r="E36" s="31"/>
      <c r="F36" s="31" t="s">
        <v>140</v>
      </c>
      <c r="G36" s="34" t="s">
        <v>141</v>
      </c>
      <c r="H36" s="3">
        <v>0.05</v>
      </c>
      <c r="I36" s="3">
        <v>0.0</v>
      </c>
      <c r="J36" s="15">
        <v>1710.0</v>
      </c>
      <c r="K36" s="16">
        <v>110.0</v>
      </c>
      <c r="L36" s="16">
        <v>34.0</v>
      </c>
      <c r="M36" s="16">
        <v>24.0</v>
      </c>
      <c r="N36" s="16">
        <v>2.0</v>
      </c>
      <c r="O36" s="17">
        <f t="shared" si="11"/>
        <v>204</v>
      </c>
      <c r="P36" s="18">
        <v>32.5</v>
      </c>
      <c r="Q36" s="6">
        <f t="array" ref="Q36">XLOOKUP(K36/1000, '运费（邮政）'!$A$2:$A$21, '运费（邮政）'!$B$2:$B$21, "超出范围", 1)</f>
        <v>1060</v>
      </c>
      <c r="R36" s="18">
        <v>12.99</v>
      </c>
      <c r="S36" s="19">
        <f t="shared" si="2"/>
        <v>8.571771127</v>
      </c>
      <c r="T36" s="20">
        <f t="shared" si="3"/>
        <v>45.49</v>
      </c>
      <c r="U36" s="21">
        <f t="array" ref="U36">XLOOKUP(O36/1000, '运费（橙联）'!$A$2:$A$57, '运费（橙联）'!$B$2:$B$57, "超出范围", 1)</f>
        <v>1581</v>
      </c>
      <c r="V36" s="22">
        <f>(P36*'参数表'!$C$2*(1+'参数表'!$C$3))*$B$1+'参数表'!$C$4</f>
        <v>696.1915</v>
      </c>
      <c r="W36" s="3">
        <v>0.127</v>
      </c>
      <c r="X36" s="4">
        <v>0.0135</v>
      </c>
      <c r="Y36" s="23">
        <f t="shared" si="4"/>
        <v>718.739425</v>
      </c>
      <c r="Z36" s="24">
        <f t="shared" si="5"/>
        <v>0.1557398537</v>
      </c>
      <c r="AA36" s="25">
        <f t="shared" si="6"/>
        <v>0.4203154532</v>
      </c>
      <c r="AB36" s="23">
        <f t="shared" si="7"/>
        <v>959.596186</v>
      </c>
      <c r="AC36" s="24">
        <f t="shared" si="8"/>
        <v>0.1485539595</v>
      </c>
      <c r="AD36" s="25">
        <f t="shared" si="9"/>
        <v>0.5611673602</v>
      </c>
      <c r="AE36" s="26">
        <f>P36*(1-I36)*(1+'参数表'!$C$6)*(W36+X36+H36)*1.1+0.4*1.1</f>
        <v>7.9314125</v>
      </c>
      <c r="AF36" s="26">
        <f t="shared" si="10"/>
        <v>10.653467</v>
      </c>
    </row>
    <row r="37">
      <c r="A37" s="44" t="s">
        <v>142</v>
      </c>
      <c r="C37" s="30" t="s">
        <v>143</v>
      </c>
      <c r="D37" s="2" t="s">
        <v>61</v>
      </c>
      <c r="E37" s="14"/>
      <c r="F37" s="14"/>
      <c r="G37" s="46"/>
      <c r="H37" s="3">
        <v>0.05</v>
      </c>
      <c r="I37" s="3">
        <v>0.0</v>
      </c>
      <c r="J37" s="15">
        <v>1520.0</v>
      </c>
      <c r="K37" s="16">
        <v>80.0</v>
      </c>
      <c r="L37" s="16">
        <v>20.0</v>
      </c>
      <c r="M37" s="16">
        <v>20.0</v>
      </c>
      <c r="N37" s="16">
        <v>0.9</v>
      </c>
      <c r="O37" s="17">
        <f t="shared" si="11"/>
        <v>80</v>
      </c>
      <c r="P37" s="18">
        <v>32.8</v>
      </c>
      <c r="Q37" s="6">
        <f t="array" ref="Q37">XLOOKUP(K37/1000, '运费（邮政）'!$A$2:$A$21, '运费（邮政）'!$B$2:$B$21, "超出范围", 1)</f>
        <v>880</v>
      </c>
      <c r="R37" s="18">
        <v>12.99</v>
      </c>
      <c r="S37" s="19">
        <f t="shared" si="2"/>
        <v>7.377049014</v>
      </c>
      <c r="T37" s="20">
        <f t="shared" si="3"/>
        <v>45.79</v>
      </c>
      <c r="U37" s="21">
        <f t="array" ref="U37">XLOOKUP(O37/1000, '运费（橙联）'!$A$2:$A$57, '运费（橙联）'!$B$2:$B$57, "超出范围", 1)</f>
        <v>1227</v>
      </c>
      <c r="V37" s="22">
        <f>(P37*'参数表'!$C$2*(1+'参数表'!$C$3))*$B$1+'参数表'!$C$4</f>
        <v>700.54096</v>
      </c>
      <c r="W37" s="3">
        <v>0.127</v>
      </c>
      <c r="X37" s="4">
        <v>0.0135</v>
      </c>
      <c r="Y37" s="23">
        <f t="shared" si="4"/>
        <v>1121.519912</v>
      </c>
      <c r="Z37" s="24">
        <f t="shared" si="5"/>
        <v>0.2407935228</v>
      </c>
      <c r="AA37" s="25">
        <f t="shared" si="6"/>
        <v>0.7378420474</v>
      </c>
      <c r="AB37" s="23">
        <f t="shared" si="7"/>
        <v>1532.027213</v>
      </c>
      <c r="AC37" s="24">
        <f t="shared" si="8"/>
        <v>0.2356174718</v>
      </c>
      <c r="AD37" s="25">
        <f t="shared" si="9"/>
        <v>1.00791264</v>
      </c>
      <c r="AE37" s="26">
        <f>P37*(1-I37)*(1+'参数表'!$C$6)*(W37+X37+H37)*1.1+0.4*1.1</f>
        <v>8.000564</v>
      </c>
      <c r="AF37" s="26">
        <f t="shared" si="10"/>
        <v>10.7226185</v>
      </c>
    </row>
    <row r="38">
      <c r="A38" s="44" t="s">
        <v>144</v>
      </c>
      <c r="C38" s="30" t="s">
        <v>145</v>
      </c>
      <c r="D38" s="2" t="s">
        <v>61</v>
      </c>
      <c r="E38" s="14"/>
      <c r="F38" s="14"/>
      <c r="G38" s="45" t="s">
        <v>146</v>
      </c>
      <c r="H38" s="3">
        <v>0.05</v>
      </c>
      <c r="I38" s="3">
        <v>0.0</v>
      </c>
      <c r="J38" s="15">
        <v>2750.0</v>
      </c>
      <c r="K38" s="16">
        <v>210.0</v>
      </c>
      <c r="L38" s="16">
        <v>14.1</v>
      </c>
      <c r="M38" s="16">
        <v>12.4</v>
      </c>
      <c r="N38" s="16">
        <v>0.9</v>
      </c>
      <c r="O38" s="17">
        <f t="shared" si="11"/>
        <v>210</v>
      </c>
      <c r="P38" s="18">
        <v>44.8</v>
      </c>
      <c r="Q38" s="6">
        <f t="array" ref="Q38">XLOOKUP(K38/1000, '运费（邮政）'!$A$2:$A$21, '运费（邮政）'!$B$2:$B$21, "超出范围", 1)</f>
        <v>1240</v>
      </c>
      <c r="R38" s="18">
        <v>15.99</v>
      </c>
      <c r="S38" s="19">
        <f t="shared" si="2"/>
        <v>8.559995493</v>
      </c>
      <c r="T38" s="20">
        <f t="shared" si="3"/>
        <v>60.79</v>
      </c>
      <c r="U38" s="21">
        <f t="array" ref="U38">XLOOKUP(O38/1000, '运费（橙联）'!$A$2:$A$57, '运费（橙联）'!$B$2:$B$57, "超出范围", 1)</f>
        <v>1581</v>
      </c>
      <c r="V38" s="22">
        <f>(P38*'参数表'!$C$2*(1+'参数表'!$C$3))*$B$1+'参数表'!$C$4</f>
        <v>874.51936</v>
      </c>
      <c r="W38" s="3">
        <v>0.127</v>
      </c>
      <c r="X38" s="4">
        <v>0.0135</v>
      </c>
      <c r="Y38" s="23">
        <f t="shared" si="4"/>
        <v>842.739392</v>
      </c>
      <c r="Z38" s="24">
        <f t="shared" si="5"/>
        <v>0.1324728672</v>
      </c>
      <c r="AA38" s="25">
        <f t="shared" si="6"/>
        <v>0.306450688</v>
      </c>
      <c r="AB38" s="23">
        <f t="shared" si="7"/>
        <v>1421.999993</v>
      </c>
      <c r="AC38" s="24">
        <f t="shared" si="8"/>
        <v>0.1647324306</v>
      </c>
      <c r="AD38" s="25">
        <f t="shared" si="9"/>
        <v>0.5170909065</v>
      </c>
      <c r="AE38" s="26">
        <f>P38*(1-I38)*(1+'参数表'!$C$6)*(W38+X38+H38)*1.1+0.4*1.1</f>
        <v>10.766624</v>
      </c>
      <c r="AF38" s="26">
        <f t="shared" si="10"/>
        <v>14.1173285</v>
      </c>
    </row>
    <row r="39">
      <c r="A39" s="44" t="s">
        <v>147</v>
      </c>
      <c r="C39" s="30" t="s">
        <v>148</v>
      </c>
      <c r="D39" s="2" t="s">
        <v>61</v>
      </c>
      <c r="E39" s="31"/>
      <c r="F39" s="31" t="s">
        <v>149</v>
      </c>
      <c r="G39" s="43" t="s">
        <v>150</v>
      </c>
      <c r="H39" s="3">
        <v>0.05</v>
      </c>
      <c r="I39" s="3">
        <v>0.0</v>
      </c>
      <c r="J39" s="15">
        <v>11000.0</v>
      </c>
      <c r="K39" s="16">
        <v>6000.0</v>
      </c>
      <c r="L39" s="16">
        <v>65.0</v>
      </c>
      <c r="M39" s="16">
        <v>25.0</v>
      </c>
      <c r="N39" s="16">
        <v>40.0</v>
      </c>
      <c r="O39" s="17">
        <f t="shared" si="11"/>
        <v>8125</v>
      </c>
      <c r="P39" s="18">
        <v>142.0</v>
      </c>
      <c r="Q39" s="6" t="str">
        <f t="array" ref="Q39">XLOOKUP(K39/1000, '运费（邮政）'!$A$2:$A$21, '运费（邮政）'!$B$2:$B$21, "超出范围", 1)</f>
        <v>超出范围</v>
      </c>
      <c r="R39" s="18">
        <v>280.0</v>
      </c>
      <c r="S39" s="19" t="str">
        <f t="shared" si="2"/>
        <v>#VALUE!</v>
      </c>
      <c r="T39" s="20">
        <f t="shared" si="3"/>
        <v>422</v>
      </c>
      <c r="U39" s="21">
        <f t="array" ref="U39">XLOOKUP(O39/1000, '运费（橙联）'!$A$2:$A$57, '运费（橙联）'!$B$2:$B$57, "超出范围", 1)</f>
        <v>9884</v>
      </c>
      <c r="V39" s="22">
        <f>(P39*'参数表'!$C$2*(1+'参数表'!$C$3))*$B$1+'参数表'!$C$4</f>
        <v>2283.7444</v>
      </c>
      <c r="W39" s="3">
        <v>0.127</v>
      </c>
      <c r="X39" s="4">
        <v>0.0135</v>
      </c>
      <c r="Y39" s="23" t="str">
        <f t="shared" si="4"/>
        <v>#VALUE!</v>
      </c>
      <c r="Z39" s="24" t="str">
        <f t="shared" si="5"/>
        <v>#VALUE!</v>
      </c>
      <c r="AA39" s="25" t="str">
        <f t="shared" si="6"/>
        <v>#VALUE!</v>
      </c>
      <c r="AB39" s="23">
        <f t="shared" si="7"/>
        <v>23714.16478</v>
      </c>
      <c r="AC39" s="24">
        <f t="shared" si="8"/>
        <v>0.395737347</v>
      </c>
      <c r="AD39" s="25">
        <f t="shared" si="9"/>
        <v>2.155833162</v>
      </c>
      <c r="AE39" s="26">
        <f>P39*(1-I39)*(1+'参数表'!$C$6)*(W39+X39+H39)*1.1+0.4*1.1</f>
        <v>33.17171</v>
      </c>
      <c r="AF39" s="26">
        <f t="shared" si="10"/>
        <v>91.84571</v>
      </c>
    </row>
    <row r="40">
      <c r="A40" s="44" t="s">
        <v>151</v>
      </c>
      <c r="C40" s="30" t="s">
        <v>152</v>
      </c>
      <c r="D40" s="2" t="s">
        <v>61</v>
      </c>
      <c r="E40" s="14"/>
      <c r="F40" s="14"/>
      <c r="G40" s="46"/>
      <c r="H40" s="3">
        <v>0.05</v>
      </c>
      <c r="I40" s="3">
        <v>0.0</v>
      </c>
      <c r="J40" s="15">
        <v>6580.0</v>
      </c>
      <c r="K40" s="16">
        <v>170.0</v>
      </c>
      <c r="L40" s="16">
        <v>33.7</v>
      </c>
      <c r="M40" s="16">
        <v>28.0</v>
      </c>
      <c r="N40" s="16">
        <v>3.0</v>
      </c>
      <c r="O40" s="17">
        <f t="shared" si="11"/>
        <v>353.85</v>
      </c>
      <c r="P40" s="18">
        <v>89.54</v>
      </c>
      <c r="Q40" s="6">
        <f t="array" ref="Q40">XLOOKUP(K40/1000, '运费（邮政）'!$A$2:$A$21, '运费（邮政）'!$B$2:$B$21, "超出范围", 1)</f>
        <v>1060</v>
      </c>
      <c r="R40" s="18">
        <v>28.99</v>
      </c>
      <c r="S40" s="19">
        <f t="shared" si="2"/>
        <v>15.78287907</v>
      </c>
      <c r="T40" s="20">
        <f t="shared" si="3"/>
        <v>118.53</v>
      </c>
      <c r="U40" s="21">
        <f t="array" ref="U40">XLOOKUP(O40/1000, '运费（橙联）'!$A$2:$A$57, '运费（橙联）'!$B$2:$B$57, "超出范围", 1)</f>
        <v>1778</v>
      </c>
      <c r="V40" s="22">
        <f>(P40*'参数表'!$C$2*(1+'参数表'!$C$3))*$B$1+'参数表'!$C$4</f>
        <v>1523.168828</v>
      </c>
      <c r="W40" s="3">
        <v>0.127</v>
      </c>
      <c r="X40" s="4">
        <v>0.0135</v>
      </c>
      <c r="Y40" s="23">
        <f t="shared" si="4"/>
        <v>2081.402687</v>
      </c>
      <c r="Z40" s="24">
        <f t="shared" si="5"/>
        <v>0.1637007527</v>
      </c>
      <c r="AA40" s="25">
        <f t="shared" si="6"/>
        <v>0.3163225967</v>
      </c>
      <c r="AB40" s="23">
        <f t="shared" si="7"/>
        <v>3094.18452</v>
      </c>
      <c r="AC40" s="24">
        <f t="shared" si="8"/>
        <v>0.1838355845</v>
      </c>
      <c r="AD40" s="25">
        <f t="shared" si="9"/>
        <v>0.4702408084</v>
      </c>
      <c r="AE40" s="26">
        <f>P40*(1-I40)*(1+'参数表'!$C$6)*(W40+X40+H40)*1.1+0.4*1.1</f>
        <v>21.0794177</v>
      </c>
      <c r="AF40" s="26">
        <f t="shared" si="10"/>
        <v>27.1542722</v>
      </c>
    </row>
    <row r="41">
      <c r="A41" s="44" t="s">
        <v>153</v>
      </c>
      <c r="C41" s="30" t="s">
        <v>154</v>
      </c>
      <c r="D41" s="2" t="s">
        <v>61</v>
      </c>
      <c r="E41" s="14"/>
      <c r="F41" s="14"/>
      <c r="G41" s="38" t="s">
        <v>155</v>
      </c>
      <c r="H41" s="3">
        <v>0.05</v>
      </c>
      <c r="I41" s="3">
        <v>0.0</v>
      </c>
      <c r="J41" s="15">
        <v>3204.0</v>
      </c>
      <c r="K41" s="16">
        <v>210.0</v>
      </c>
      <c r="L41" s="16">
        <v>12.0</v>
      </c>
      <c r="M41" s="16">
        <v>14.0</v>
      </c>
      <c r="N41" s="16">
        <v>1.0</v>
      </c>
      <c r="O41" s="17">
        <f t="shared" si="11"/>
        <v>210</v>
      </c>
      <c r="P41" s="18">
        <v>52.8</v>
      </c>
      <c r="Q41" s="6">
        <f t="array" ref="Q41">XLOOKUP(K41/1000, '运费（邮政）'!$A$2:$A$21, '运费（邮政）'!$B$2:$B$21, "超出范围", 1)</f>
        <v>1240</v>
      </c>
      <c r="R41" s="18">
        <v>15.99</v>
      </c>
      <c r="S41" s="19">
        <f t="shared" si="2"/>
        <v>9.376795493</v>
      </c>
      <c r="T41" s="20">
        <f t="shared" si="3"/>
        <v>68.79</v>
      </c>
      <c r="U41" s="21">
        <f t="array" ref="U41">XLOOKUP(O41/1000, '运费（橙联）'!$A$2:$A$57, '运费（橙联）'!$B$2:$B$57, "超出范围", 1)</f>
        <v>1581</v>
      </c>
      <c r="V41" s="22">
        <f>(P41*'参数表'!$C$2*(1+'参数表'!$C$3))*$B$1+'参数表'!$C$4</f>
        <v>990.50496</v>
      </c>
      <c r="W41" s="3">
        <v>0.153</v>
      </c>
      <c r="X41" s="4">
        <v>0.0135</v>
      </c>
      <c r="Y41" s="23">
        <f t="shared" si="4"/>
        <v>1027.011216</v>
      </c>
      <c r="Z41" s="24">
        <f t="shared" si="5"/>
        <v>0.136978662</v>
      </c>
      <c r="AA41" s="25">
        <f t="shared" si="6"/>
        <v>0.3205403296</v>
      </c>
      <c r="AB41" s="23">
        <f t="shared" si="7"/>
        <v>1425.347629</v>
      </c>
      <c r="AC41" s="24">
        <f t="shared" si="8"/>
        <v>0.1459174205</v>
      </c>
      <c r="AD41" s="25">
        <f t="shared" si="9"/>
        <v>0.4448650527</v>
      </c>
      <c r="AE41" s="26">
        <f>P41*(1-I41)*(1+'参数表'!$C$6)*(W41+X41+H41)*1.1+0.4*1.1</f>
        <v>14.271752</v>
      </c>
      <c r="AF41" s="26">
        <f t="shared" si="10"/>
        <v>18.0797705</v>
      </c>
    </row>
    <row r="42">
      <c r="A42" s="44" t="s">
        <v>156</v>
      </c>
      <c r="C42" s="30" t="s">
        <v>157</v>
      </c>
      <c r="D42" s="2" t="s">
        <v>61</v>
      </c>
      <c r="E42" s="14"/>
      <c r="F42" s="14"/>
      <c r="G42" s="47" t="s">
        <v>158</v>
      </c>
      <c r="H42" s="3">
        <v>0.05</v>
      </c>
      <c r="I42" s="3">
        <v>0.0</v>
      </c>
      <c r="J42" s="15">
        <v>3630.0</v>
      </c>
      <c r="K42" s="16">
        <v>180.0</v>
      </c>
      <c r="L42" s="16">
        <v>14.1</v>
      </c>
      <c r="M42" s="16">
        <v>12.4</v>
      </c>
      <c r="N42" s="16">
        <v>0.9</v>
      </c>
      <c r="O42" s="17">
        <f t="shared" si="11"/>
        <v>180</v>
      </c>
      <c r="P42" s="18">
        <v>54.8</v>
      </c>
      <c r="Q42" s="6">
        <f t="array" ref="Q42">XLOOKUP(K42/1000, '运费（邮政）'!$A$2:$A$21, '运费（邮政）'!$B$2:$B$21, "超出范围", 1)</f>
        <v>1060</v>
      </c>
      <c r="R42" s="18">
        <v>15.99</v>
      </c>
      <c r="S42" s="19">
        <f t="shared" si="2"/>
        <v>9.341558873</v>
      </c>
      <c r="T42" s="20">
        <f t="shared" si="3"/>
        <v>70.79</v>
      </c>
      <c r="U42" s="21">
        <f t="array" ref="U42">XLOOKUP(O42/1000, '运费（橙联）'!$A$2:$A$57, '运费（橙联）'!$B$2:$B$57, "超出范围", 1)</f>
        <v>1367</v>
      </c>
      <c r="V42" s="22">
        <f>(P42*'参数表'!$C$2*(1+'参数表'!$C$3))*$B$1+'参数表'!$C$4</f>
        <v>1019.50136</v>
      </c>
      <c r="W42" s="3">
        <v>0.153</v>
      </c>
      <c r="X42" s="4">
        <v>0.0135</v>
      </c>
      <c r="Y42" s="23">
        <f t="shared" si="4"/>
        <v>990.613156</v>
      </c>
      <c r="Z42" s="24">
        <f t="shared" si="5"/>
        <v>0.1273019888</v>
      </c>
      <c r="AA42" s="25">
        <f t="shared" si="6"/>
        <v>0.2728961862</v>
      </c>
      <c r="AB42" s="23">
        <f t="shared" si="7"/>
        <v>1393.953169</v>
      </c>
      <c r="AC42" s="24">
        <f t="shared" si="8"/>
        <v>0.1386717278</v>
      </c>
      <c r="AD42" s="25">
        <f t="shared" si="9"/>
        <v>0.3840091375</v>
      </c>
      <c r="AE42" s="26">
        <f>P42*(1-I42)*(1+'参数表'!$C$6)*(W42+X42+H42)*1.1+0.4*1.1</f>
        <v>14.795682</v>
      </c>
      <c r="AF42" s="26">
        <f t="shared" si="10"/>
        <v>18.6037005</v>
      </c>
    </row>
    <row r="43">
      <c r="A43" s="44" t="s">
        <v>159</v>
      </c>
      <c r="C43" s="30" t="s">
        <v>160</v>
      </c>
      <c r="D43" s="2" t="s">
        <v>161</v>
      </c>
      <c r="E43" s="14"/>
      <c r="F43" s="14"/>
      <c r="G43" s="48" t="s">
        <v>162</v>
      </c>
      <c r="H43" s="3">
        <v>0.05</v>
      </c>
      <c r="I43" s="3">
        <v>0.0</v>
      </c>
      <c r="J43" s="15">
        <v>1540.0</v>
      </c>
      <c r="K43" s="16">
        <v>180.0</v>
      </c>
      <c r="L43" s="16">
        <v>14.1</v>
      </c>
      <c r="M43" s="16">
        <v>12.4</v>
      </c>
      <c r="N43" s="16">
        <v>0.9</v>
      </c>
      <c r="O43" s="17">
        <f t="shared" si="11"/>
        <v>180</v>
      </c>
      <c r="P43" s="18">
        <v>28.8</v>
      </c>
      <c r="Q43" s="6">
        <f t="array" ref="Q43">XLOOKUP(K43/1000, '运费（邮政）'!$A$2:$A$21, '运费（邮政）'!$B$2:$B$21, "超出范围", 1)</f>
        <v>1060</v>
      </c>
      <c r="R43" s="18">
        <v>12.99</v>
      </c>
      <c r="S43" s="19">
        <f t="shared" si="2"/>
        <v>6.686958873</v>
      </c>
      <c r="T43" s="20">
        <f t="shared" si="3"/>
        <v>41.79</v>
      </c>
      <c r="U43" s="21">
        <f t="array" ref="U43">XLOOKUP(O43/1000, '运费（橙联）'!$A$2:$A$57, '运费（橙联）'!$B$2:$B$57, "超出范围", 1)</f>
        <v>1367</v>
      </c>
      <c r="V43" s="22">
        <f>(P43*'参数表'!$C$2*(1+'参数表'!$C$3))*$B$1+'参数表'!$C$4</f>
        <v>642.54816</v>
      </c>
      <c r="W43" s="3">
        <v>0.153</v>
      </c>
      <c r="X43" s="4">
        <v>0.0135</v>
      </c>
      <c r="Y43" s="23">
        <f t="shared" si="4"/>
        <v>355.787936</v>
      </c>
      <c r="Z43" s="24">
        <f t="shared" si="5"/>
        <v>0.08699822379</v>
      </c>
      <c r="AA43" s="25">
        <f t="shared" si="6"/>
        <v>0.2310311273</v>
      </c>
      <c r="AB43" s="23">
        <f t="shared" si="7"/>
        <v>811.533049</v>
      </c>
      <c r="AC43" s="24">
        <f t="shared" si="8"/>
        <v>0.1367557184</v>
      </c>
      <c r="AD43" s="25">
        <f t="shared" si="9"/>
        <v>0.5269695123</v>
      </c>
      <c r="AE43" s="26">
        <f>P43*(1-I43)*(1+'参数表'!$C$6)*(W43+X43+H43)*1.1+0.4*1.1</f>
        <v>7.984592</v>
      </c>
      <c r="AF43" s="26">
        <f t="shared" si="10"/>
        <v>11.0781605</v>
      </c>
    </row>
    <row r="44">
      <c r="A44" s="44" t="s">
        <v>163</v>
      </c>
      <c r="C44" s="30" t="s">
        <v>164</v>
      </c>
      <c r="D44" s="2" t="s">
        <v>61</v>
      </c>
      <c r="E44" s="14"/>
      <c r="F44" s="14"/>
      <c r="G44" s="48" t="s">
        <v>165</v>
      </c>
      <c r="H44" s="3">
        <v>0.05</v>
      </c>
      <c r="I44" s="3">
        <v>0.0</v>
      </c>
      <c r="J44" s="15">
        <v>1781.0</v>
      </c>
      <c r="K44" s="16">
        <v>280.0</v>
      </c>
      <c r="L44" s="16">
        <v>16.0</v>
      </c>
      <c r="M44" s="16">
        <v>13.0</v>
      </c>
      <c r="N44" s="16">
        <v>2.0</v>
      </c>
      <c r="O44" s="17">
        <f t="shared" si="11"/>
        <v>280</v>
      </c>
      <c r="P44" s="18">
        <v>34.8</v>
      </c>
      <c r="Q44" s="6">
        <f t="array" ref="Q44">XLOOKUP(K44/1000, '运费（邮政）'!$A$2:$A$21, '运费（邮政）'!$B$2:$B$21, "超出范围", 1)</f>
        <v>1240</v>
      </c>
      <c r="R44" s="18">
        <v>12.99</v>
      </c>
      <c r="S44" s="19">
        <f t="shared" si="2"/>
        <v>7.538995493</v>
      </c>
      <c r="T44" s="20">
        <f t="shared" si="3"/>
        <v>47.79</v>
      </c>
      <c r="U44" s="21">
        <f t="array" ref="U44">XLOOKUP(O44/1000, '运费（橙联）'!$A$2:$A$57, '运费（橙联）'!$B$2:$B$57, "超出范围", 1)</f>
        <v>1581</v>
      </c>
      <c r="V44" s="22">
        <f>(P44*'参数表'!$C$2*(1+'参数表'!$C$3))*$B$1+'参数表'!$C$4</f>
        <v>729.53736</v>
      </c>
      <c r="W44" s="3">
        <v>0.153</v>
      </c>
      <c r="X44" s="4">
        <v>0.0135</v>
      </c>
      <c r="Y44" s="23">
        <f t="shared" si="4"/>
        <v>563.593756</v>
      </c>
      <c r="Z44" s="24">
        <f t="shared" si="5"/>
        <v>0.1140508653</v>
      </c>
      <c r="AA44" s="25">
        <f t="shared" si="6"/>
        <v>0.3164479259</v>
      </c>
      <c r="AB44" s="23">
        <f t="shared" si="7"/>
        <v>898.349669</v>
      </c>
      <c r="AC44" s="24">
        <f t="shared" si="8"/>
        <v>0.1323792869</v>
      </c>
      <c r="AD44" s="25">
        <f t="shared" si="9"/>
        <v>0.5044074503</v>
      </c>
      <c r="AE44" s="26">
        <f>P44*(1-I44)*(1+'参数表'!$C$6)*(W44+X44+H44)*1.1+0.4*1.1</f>
        <v>9.556382</v>
      </c>
      <c r="AF44" s="26">
        <f t="shared" si="10"/>
        <v>12.6499505</v>
      </c>
    </row>
    <row r="45">
      <c r="A45" s="44" t="s">
        <v>166</v>
      </c>
      <c r="C45" s="30" t="s">
        <v>167</v>
      </c>
      <c r="D45" s="2" t="s">
        <v>61</v>
      </c>
      <c r="E45" s="14"/>
      <c r="F45" s="14"/>
      <c r="G45" s="48" t="s">
        <v>168</v>
      </c>
      <c r="H45" s="3">
        <v>0.05</v>
      </c>
      <c r="I45" s="3">
        <v>0.0</v>
      </c>
      <c r="J45" s="15">
        <v>1100.0</v>
      </c>
      <c r="K45" s="16">
        <v>150.0</v>
      </c>
      <c r="L45" s="16">
        <v>14.0</v>
      </c>
      <c r="M45" s="16">
        <v>12.0</v>
      </c>
      <c r="N45" s="16">
        <v>2.0</v>
      </c>
      <c r="O45" s="17">
        <f t="shared" si="11"/>
        <v>150</v>
      </c>
      <c r="P45" s="18">
        <v>24.8</v>
      </c>
      <c r="Q45" s="6">
        <f t="array" ref="Q45">XLOOKUP(K45/1000, '运费（邮政）'!$A$2:$A$21, '运费（邮政）'!$B$2:$B$21, "超出范围", 1)</f>
        <v>1060</v>
      </c>
      <c r="R45" s="18">
        <v>9.99</v>
      </c>
      <c r="S45" s="19">
        <f t="shared" si="2"/>
        <v>6.278558873</v>
      </c>
      <c r="T45" s="20">
        <f t="shared" si="3"/>
        <v>34.79</v>
      </c>
      <c r="U45" s="21">
        <f t="array" ref="U45">XLOOKUP(O45/1000, '运费（橙联）'!$A$2:$A$57, '运费（橙联）'!$B$2:$B$57, "超出范围", 1)</f>
        <v>1367</v>
      </c>
      <c r="V45" s="22">
        <f>(P45*'参数表'!$C$2*(1+'参数表'!$C$3))*$B$1+'参数表'!$C$4</f>
        <v>584.55536</v>
      </c>
      <c r="W45" s="3">
        <v>0.153</v>
      </c>
      <c r="X45" s="4">
        <v>0.0135</v>
      </c>
      <c r="Y45" s="23">
        <f t="shared" si="4"/>
        <v>376.584056</v>
      </c>
      <c r="Z45" s="24">
        <f t="shared" si="5"/>
        <v>0.1069354998</v>
      </c>
      <c r="AA45" s="25">
        <f t="shared" si="6"/>
        <v>0.3423491418</v>
      </c>
      <c r="AB45" s="23">
        <f t="shared" si="7"/>
        <v>565.773869</v>
      </c>
      <c r="AC45" s="24">
        <f t="shared" si="8"/>
        <v>0.1145249503</v>
      </c>
      <c r="AD45" s="25">
        <f t="shared" si="9"/>
        <v>0.5143398809</v>
      </c>
      <c r="AE45" s="26">
        <f>P45*(1-I45)*(1+'参数表'!$C$6)*(W45+X45+H45)*1.1+0.4*1.1</f>
        <v>6.936732</v>
      </c>
      <c r="AF45" s="26">
        <f t="shared" si="10"/>
        <v>9.3158505</v>
      </c>
    </row>
    <row r="46">
      <c r="A46" s="44" t="s">
        <v>169</v>
      </c>
      <c r="C46" s="30" t="s">
        <v>170</v>
      </c>
      <c r="D46" s="2" t="s">
        <v>61</v>
      </c>
      <c r="E46" s="14"/>
      <c r="F46" s="14"/>
      <c r="G46" s="48" t="s">
        <v>171</v>
      </c>
      <c r="H46" s="3">
        <v>0.05</v>
      </c>
      <c r="I46" s="3">
        <v>0.0</v>
      </c>
      <c r="J46" s="15">
        <v>1561.0</v>
      </c>
      <c r="K46" s="16">
        <v>150.0</v>
      </c>
      <c r="L46" s="16">
        <v>14.0</v>
      </c>
      <c r="M46" s="16">
        <v>12.0</v>
      </c>
      <c r="N46" s="16">
        <v>2.0</v>
      </c>
      <c r="O46" s="17">
        <f t="shared" si="11"/>
        <v>150</v>
      </c>
      <c r="P46" s="18">
        <v>29.8</v>
      </c>
      <c r="Q46" s="6">
        <f t="array" ref="Q46">XLOOKUP(K46/1000, '运费（邮政）'!$A$2:$A$21, '运费（邮政）'!$B$2:$B$21, "超出范围", 1)</f>
        <v>1060</v>
      </c>
      <c r="R46" s="18">
        <v>12.99</v>
      </c>
      <c r="S46" s="19">
        <f t="shared" si="2"/>
        <v>6.789058873</v>
      </c>
      <c r="T46" s="20">
        <f t="shared" si="3"/>
        <v>42.79</v>
      </c>
      <c r="U46" s="21">
        <f t="array" ref="U46">XLOOKUP(O46/1000, '运费（橙联）'!$A$2:$A$57, '运费（橙联）'!$B$2:$B$57, "超出范围", 1)</f>
        <v>1367</v>
      </c>
      <c r="V46" s="22">
        <f>(P46*'参数表'!$C$2*(1+'参数表'!$C$3))*$B$1+'参数表'!$C$4</f>
        <v>657.04636</v>
      </c>
      <c r="W46" s="3">
        <v>0.153</v>
      </c>
      <c r="X46" s="4">
        <v>0.0135</v>
      </c>
      <c r="Y46" s="23">
        <f t="shared" si="4"/>
        <v>439.588906</v>
      </c>
      <c r="Z46" s="24">
        <f t="shared" si="5"/>
        <v>0.1038824336</v>
      </c>
      <c r="AA46" s="25">
        <f t="shared" si="6"/>
        <v>0.2816072428</v>
      </c>
      <c r="AB46" s="23">
        <f t="shared" si="7"/>
        <v>880.835819</v>
      </c>
      <c r="AC46" s="24">
        <f t="shared" si="8"/>
        <v>0.1449653926</v>
      </c>
      <c r="AD46" s="25">
        <f t="shared" si="9"/>
        <v>0.5642766297</v>
      </c>
      <c r="AE46" s="26">
        <f>P46*(1-I46)*(1+'参数表'!$C$6)*(W46+X46+H46)*1.1+0.4*1.1</f>
        <v>8.246557</v>
      </c>
      <c r="AF46" s="26">
        <f t="shared" si="10"/>
        <v>11.3401255</v>
      </c>
    </row>
    <row r="47">
      <c r="A47" s="2" t="s">
        <v>172</v>
      </c>
      <c r="C47" s="30" t="s">
        <v>173</v>
      </c>
      <c r="E47" s="14"/>
      <c r="F47" s="14"/>
      <c r="G47" s="43" t="s">
        <v>174</v>
      </c>
      <c r="H47" s="3">
        <v>0.05</v>
      </c>
      <c r="I47" s="3">
        <v>0.0</v>
      </c>
      <c r="J47" s="15">
        <v>10000.0</v>
      </c>
      <c r="K47" s="16">
        <v>790.0</v>
      </c>
      <c r="L47" s="16">
        <v>20.0</v>
      </c>
      <c r="M47" s="16">
        <v>20.0</v>
      </c>
      <c r="N47" s="16">
        <v>19.0</v>
      </c>
      <c r="O47" s="17">
        <f t="shared" si="11"/>
        <v>950</v>
      </c>
      <c r="P47" s="18">
        <v>149.39</v>
      </c>
      <c r="Q47" s="6">
        <f t="array" ref="Q47">XLOOKUP(K47/1000, '运费（邮政）'!$A$2:$A$21, '运费（邮政）'!$B$2:$B$21, "超出范围", 1)</f>
        <v>2140</v>
      </c>
      <c r="R47" s="18">
        <v>45.99</v>
      </c>
      <c r="S47" s="19">
        <f t="shared" si="2"/>
        <v>23.03440914</v>
      </c>
      <c r="T47" s="20">
        <f t="shared" si="3"/>
        <v>195.38</v>
      </c>
      <c r="U47" s="21">
        <f t="array" ref="U47">XLOOKUP(O47/1000, '运费（橙联）'!$A$2:$A$57, '运费（橙联）'!$B$2:$B$57, "超出范围", 1)</f>
        <v>3020</v>
      </c>
      <c r="V47" s="22">
        <f>(P47*'参数表'!$C$2*(1+'参数表'!$C$3))*$B$1+'参数表'!$C$4</f>
        <v>2390.886098</v>
      </c>
      <c r="W47" s="3">
        <v>0.127</v>
      </c>
      <c r="X47" s="4">
        <v>0.0135</v>
      </c>
      <c r="Y47" s="23">
        <f t="shared" si="4"/>
        <v>4121.109843</v>
      </c>
      <c r="Z47" s="24">
        <f t="shared" si="5"/>
        <v>0.1942693641</v>
      </c>
      <c r="AA47" s="25">
        <f t="shared" si="6"/>
        <v>0.4121109843</v>
      </c>
      <c r="AB47" s="23">
        <f t="shared" si="7"/>
        <v>6012.320706</v>
      </c>
      <c r="AC47" s="24">
        <f t="shared" si="8"/>
        <v>0.2167073736</v>
      </c>
      <c r="AD47" s="25">
        <f t="shared" si="9"/>
        <v>0.6012320706</v>
      </c>
      <c r="AE47" s="26">
        <f>P47*(1-I47)*(1+'参数表'!$C$6)*(W47+X47+H47)*1.1+0.4*1.1</f>
        <v>34.87514195</v>
      </c>
      <c r="AF47" s="26">
        <f t="shared" si="10"/>
        <v>44.51234645</v>
      </c>
    </row>
    <row r="48">
      <c r="A48" s="44" t="s">
        <v>175</v>
      </c>
      <c r="C48" s="30" t="s">
        <v>176</v>
      </c>
      <c r="D48" s="2" t="s">
        <v>61</v>
      </c>
      <c r="E48" s="14"/>
      <c r="F48" s="14"/>
      <c r="G48" s="13" t="s">
        <v>177</v>
      </c>
      <c r="H48" s="3">
        <v>0.05</v>
      </c>
      <c r="I48" s="3">
        <v>0.0</v>
      </c>
      <c r="J48" s="15">
        <v>7920.0</v>
      </c>
      <c r="K48" s="16">
        <v>255.0</v>
      </c>
      <c r="L48" s="16">
        <v>20.0</v>
      </c>
      <c r="M48" s="16">
        <v>14.0</v>
      </c>
      <c r="N48" s="16">
        <v>15.0</v>
      </c>
      <c r="O48" s="17">
        <f t="shared" si="11"/>
        <v>525</v>
      </c>
      <c r="P48" s="18">
        <v>99.58</v>
      </c>
      <c r="Q48" s="6">
        <f t="array" ref="Q48">XLOOKUP(K48/1000, '运费（邮政）'!$A$2:$A$21, '运费（邮政）'!$B$2:$B$21, "超出范围", 1)</f>
        <v>1240</v>
      </c>
      <c r="R48" s="18">
        <v>35.0</v>
      </c>
      <c r="S48" s="19">
        <f t="shared" si="2"/>
        <v>18.667118</v>
      </c>
      <c r="T48" s="20">
        <f t="shared" si="3"/>
        <v>134.58</v>
      </c>
      <c r="U48" s="21">
        <f t="array" ref="U48">XLOOKUP(O48/1000, '运费（橙联）'!$A$2:$A$57, '运费（橙联）'!$B$2:$B$57, "超出范围", 1)</f>
        <v>2222</v>
      </c>
      <c r="V48" s="22">
        <f>(P48*'参数表'!$C$2*(1+'参数表'!$C$3))*$B$1+'参数表'!$C$4</f>
        <v>1668.730756</v>
      </c>
      <c r="W48" s="3">
        <v>0.127</v>
      </c>
      <c r="X48" s="4">
        <v>0.0135</v>
      </c>
      <c r="Y48" s="23">
        <f t="shared" si="4"/>
        <v>1658.456318</v>
      </c>
      <c r="Z48" s="24">
        <f t="shared" si="5"/>
        <v>0.1172852967</v>
      </c>
      <c r="AA48" s="25">
        <f t="shared" si="6"/>
        <v>0.2094010503</v>
      </c>
      <c r="AB48" s="23">
        <f t="shared" si="7"/>
        <v>2936.262062</v>
      </c>
      <c r="AC48" s="24">
        <f t="shared" si="8"/>
        <v>0.1536476582</v>
      </c>
      <c r="AD48" s="25">
        <f t="shared" si="9"/>
        <v>0.3707401594</v>
      </c>
      <c r="AE48" s="26">
        <f>P48*(1-I48)*(1+'参数表'!$C$6)*(W48+X48+H48)*1.1+0.4*1.1</f>
        <v>23.3936879</v>
      </c>
      <c r="AF48" s="26">
        <f t="shared" si="10"/>
        <v>30.7279379</v>
      </c>
    </row>
    <row r="49">
      <c r="A49" s="49" t="s">
        <v>178</v>
      </c>
      <c r="C49" s="30" t="s">
        <v>179</v>
      </c>
      <c r="D49" s="2" t="s">
        <v>61</v>
      </c>
      <c r="E49" s="14"/>
      <c r="F49" s="14"/>
      <c r="G49" s="40"/>
      <c r="H49" s="3">
        <v>0.05</v>
      </c>
      <c r="I49" s="3">
        <v>0.0</v>
      </c>
      <c r="J49" s="15">
        <v>3200.0</v>
      </c>
      <c r="K49" s="16">
        <v>180.0</v>
      </c>
      <c r="L49" s="16">
        <v>14.0</v>
      </c>
      <c r="M49" s="16">
        <v>12.0</v>
      </c>
      <c r="N49" s="16">
        <v>2.0</v>
      </c>
      <c r="O49" s="17">
        <f t="shared" si="11"/>
        <v>180</v>
      </c>
      <c r="P49" s="18">
        <v>49.8</v>
      </c>
      <c r="Q49" s="6">
        <f t="array" ref="Q49">XLOOKUP(K49/1000, '运费（邮政）'!$A$2:$A$21, '运费（邮政）'!$B$2:$B$21, "超出范围", 1)</f>
        <v>1060</v>
      </c>
      <c r="R49" s="18">
        <v>15.99</v>
      </c>
      <c r="S49" s="19">
        <f t="shared" si="2"/>
        <v>8.831058873</v>
      </c>
      <c r="T49" s="20">
        <f t="shared" si="3"/>
        <v>65.79</v>
      </c>
      <c r="U49" s="21">
        <f t="array" ref="U49">XLOOKUP(O49/1000, '运费（橙联）'!$A$2:$A$57, '运费（橙联）'!$B$2:$B$57, "超出范围", 1)</f>
        <v>1367</v>
      </c>
      <c r="V49" s="22">
        <f>(P49*'参数表'!$C$2*(1+'参数表'!$C$3))*$B$1+'参数表'!$C$4</f>
        <v>947.01036</v>
      </c>
      <c r="W49" s="3">
        <v>0.153</v>
      </c>
      <c r="X49" s="4">
        <v>0.0135</v>
      </c>
      <c r="Y49" s="23">
        <f t="shared" si="4"/>
        <v>896.608306</v>
      </c>
      <c r="Z49" s="24">
        <f t="shared" si="5"/>
        <v>0.1267900201</v>
      </c>
      <c r="AA49" s="25">
        <f t="shared" si="6"/>
        <v>0.2801900956</v>
      </c>
      <c r="AB49" s="23">
        <f t="shared" si="7"/>
        <v>1372.439319</v>
      </c>
      <c r="AC49" s="24">
        <f t="shared" si="8"/>
        <v>0.1469078223</v>
      </c>
      <c r="AD49" s="25">
        <f t="shared" si="9"/>
        <v>0.4288872872</v>
      </c>
      <c r="AE49" s="26">
        <f>P49*(1-I49)*(1+'参数表'!$C$6)*(W49+X49+H49)*1.1+0.4*1.1</f>
        <v>13.485857</v>
      </c>
      <c r="AF49" s="26">
        <f t="shared" si="10"/>
        <v>17.2938755</v>
      </c>
    </row>
    <row r="50">
      <c r="A50" s="44" t="s">
        <v>180</v>
      </c>
      <c r="C50" s="30" t="s">
        <v>181</v>
      </c>
      <c r="D50" s="2" t="s">
        <v>61</v>
      </c>
      <c r="E50" s="14"/>
      <c r="F50" s="14"/>
      <c r="G50" s="48" t="s">
        <v>182</v>
      </c>
      <c r="H50" s="3">
        <v>0.05</v>
      </c>
      <c r="I50" s="3">
        <v>0.0</v>
      </c>
      <c r="J50" s="15">
        <v>2096.0</v>
      </c>
      <c r="K50" s="16">
        <v>180.0</v>
      </c>
      <c r="L50" s="16">
        <v>14.0</v>
      </c>
      <c r="M50" s="16">
        <v>12.0</v>
      </c>
      <c r="N50" s="16">
        <v>2.0</v>
      </c>
      <c r="O50" s="17">
        <f t="shared" si="11"/>
        <v>180</v>
      </c>
      <c r="P50" s="18">
        <v>36.8</v>
      </c>
      <c r="Q50" s="6">
        <f t="array" ref="Q50">XLOOKUP(K50/1000, '运费（邮政）'!$A$2:$A$21, '运费（邮政）'!$B$2:$B$21, "超出范围", 1)</f>
        <v>1060</v>
      </c>
      <c r="R50" s="18">
        <v>12.99</v>
      </c>
      <c r="S50" s="19">
        <f t="shared" si="2"/>
        <v>7.503758873</v>
      </c>
      <c r="T50" s="20">
        <f t="shared" si="3"/>
        <v>49.79</v>
      </c>
      <c r="U50" s="21">
        <f t="array" ref="U50">XLOOKUP(O50/1000, '运费（橙联）'!$A$2:$A$57, '运费（橙联）'!$B$2:$B$57, "超出范围", 1)</f>
        <v>1367</v>
      </c>
      <c r="V50" s="22">
        <f>(P50*'参数表'!$C$2*(1+'参数表'!$C$3))*$B$1+'参数表'!$C$4</f>
        <v>758.53376</v>
      </c>
      <c r="W50" s="3">
        <v>0.153</v>
      </c>
      <c r="X50" s="4">
        <v>0.0135</v>
      </c>
      <c r="Y50" s="23">
        <f t="shared" si="4"/>
        <v>638.195696</v>
      </c>
      <c r="Z50" s="24">
        <f t="shared" si="5"/>
        <v>0.1221286926</v>
      </c>
      <c r="AA50" s="25">
        <f t="shared" si="6"/>
        <v>0.3044826794</v>
      </c>
      <c r="AB50" s="23">
        <f t="shared" si="7"/>
        <v>977.955209</v>
      </c>
      <c r="AC50" s="24">
        <f t="shared" si="8"/>
        <v>0.138321119</v>
      </c>
      <c r="AD50" s="25">
        <f t="shared" si="9"/>
        <v>0.4665816837</v>
      </c>
      <c r="AE50" s="26">
        <f>P50*(1-I50)*(1+'参数表'!$C$6)*(W50+X50+H50)*1.1+0.4*1.1</f>
        <v>10.080312</v>
      </c>
      <c r="AF50" s="26">
        <f t="shared" si="10"/>
        <v>13.1738805</v>
      </c>
    </row>
    <row r="51">
      <c r="A51" s="44" t="s">
        <v>183</v>
      </c>
      <c r="C51" s="30" t="s">
        <v>184</v>
      </c>
      <c r="D51" s="2" t="s">
        <v>61</v>
      </c>
      <c r="E51" s="14"/>
      <c r="F51" s="14"/>
      <c r="G51" s="48" t="s">
        <v>185</v>
      </c>
      <c r="H51" s="3">
        <v>0.05</v>
      </c>
      <c r="I51" s="3">
        <v>0.0</v>
      </c>
      <c r="J51" s="15">
        <v>4200.0</v>
      </c>
      <c r="K51" s="16">
        <v>210.0</v>
      </c>
      <c r="L51" s="16">
        <v>14.0</v>
      </c>
      <c r="M51" s="16">
        <v>12.0</v>
      </c>
      <c r="N51" s="16">
        <v>2.0</v>
      </c>
      <c r="O51" s="17">
        <f t="shared" si="11"/>
        <v>210</v>
      </c>
      <c r="P51" s="18">
        <v>62.8</v>
      </c>
      <c r="Q51" s="6">
        <f t="array" ref="Q51">XLOOKUP(K51/1000, '运费（邮政）'!$A$2:$A$21, '运费（邮政）'!$B$2:$B$21, "超出范围", 1)</f>
        <v>1240</v>
      </c>
      <c r="R51" s="18">
        <v>18.99</v>
      </c>
      <c r="S51" s="19">
        <f t="shared" si="2"/>
        <v>10.39779549</v>
      </c>
      <c r="T51" s="20">
        <f t="shared" si="3"/>
        <v>81.79</v>
      </c>
      <c r="U51" s="21">
        <f t="array" ref="U51">XLOOKUP(O51/1000, '运费（橙联）'!$A$2:$A$57, '运费（橙联）'!$B$2:$B$57, "超出范围", 1)</f>
        <v>1581</v>
      </c>
      <c r="V51" s="22">
        <f>(P51*'参数表'!$C$2*(1+'参数表'!$C$3))*$B$1+'参数表'!$C$4</f>
        <v>1135.48696</v>
      </c>
      <c r="W51" s="3">
        <v>0.153</v>
      </c>
      <c r="X51" s="4">
        <v>0.0135</v>
      </c>
      <c r="Y51" s="23">
        <f t="shared" si="4"/>
        <v>1079.020916</v>
      </c>
      <c r="Z51" s="24">
        <f t="shared" si="5"/>
        <v>0.1209990262</v>
      </c>
      <c r="AA51" s="25">
        <f t="shared" si="6"/>
        <v>0.2569097419</v>
      </c>
      <c r="AB51" s="23">
        <f t="shared" si="7"/>
        <v>1656.923429</v>
      </c>
      <c r="AC51" s="24">
        <f t="shared" si="8"/>
        <v>0.1426638324</v>
      </c>
      <c r="AD51" s="25">
        <f t="shared" si="9"/>
        <v>0.3945055783</v>
      </c>
      <c r="AE51" s="26">
        <f>P51*(1-I51)*(1+'参数表'!$C$6)*(W51+X51+H51)*1.1+0.4*1.1</f>
        <v>16.891402</v>
      </c>
      <c r="AF51" s="26">
        <f t="shared" si="10"/>
        <v>21.4138705</v>
      </c>
    </row>
    <row r="52">
      <c r="A52" s="44" t="s">
        <v>186</v>
      </c>
      <c r="C52" s="30" t="s">
        <v>187</v>
      </c>
      <c r="D52" s="2" t="s">
        <v>61</v>
      </c>
      <c r="E52" s="14"/>
      <c r="F52" s="14"/>
      <c r="G52" s="48" t="s">
        <v>188</v>
      </c>
      <c r="H52" s="3">
        <v>0.05</v>
      </c>
      <c r="I52" s="3">
        <v>0.0</v>
      </c>
      <c r="J52" s="15">
        <v>2573.0</v>
      </c>
      <c r="K52" s="16">
        <v>210.0</v>
      </c>
      <c r="L52" s="16">
        <v>14.0</v>
      </c>
      <c r="M52" s="16">
        <v>12.0</v>
      </c>
      <c r="N52" s="16">
        <v>2.0</v>
      </c>
      <c r="O52" s="17">
        <v>180.0</v>
      </c>
      <c r="P52" s="18">
        <v>42.9</v>
      </c>
      <c r="Q52" s="6">
        <f t="array" ref="Q52">XLOOKUP(K52/1000, '运费（邮政）'!$A$2:$A$21, '运费（邮政）'!$B$2:$B$21, "超出范围", 1)</f>
        <v>1240</v>
      </c>
      <c r="R52" s="18">
        <v>12.99</v>
      </c>
      <c r="S52" s="19">
        <f t="shared" si="2"/>
        <v>6.858963239</v>
      </c>
      <c r="T52" s="20">
        <f t="shared" si="3"/>
        <v>55.89</v>
      </c>
      <c r="U52" s="21">
        <f t="array" ref="U52">XLOOKUP(O52/1000, '运费（橙联）'!$A$2:$A$57, '运费（橙联）'!$B$2:$B$57, "超出范围", 1)</f>
        <v>1367</v>
      </c>
      <c r="V52" s="22">
        <f>(P52*'参数表'!$C$2*(1+'参数表'!$C$3))*$B$1+'参数表'!$C$4</f>
        <v>846.97278</v>
      </c>
      <c r="W52" s="3">
        <v>0.153</v>
      </c>
      <c r="X52" s="4">
        <v>0.0135</v>
      </c>
      <c r="Y52" s="23">
        <f t="shared" si="4"/>
        <v>620.481613</v>
      </c>
      <c r="Z52" s="24">
        <f t="shared" si="5"/>
        <v>0.1018552173</v>
      </c>
      <c r="AA52" s="25">
        <f t="shared" si="6"/>
        <v>0.241151035</v>
      </c>
      <c r="AB52" s="23">
        <f t="shared" si="7"/>
        <v>1051.802106</v>
      </c>
      <c r="AC52" s="24">
        <f t="shared" si="8"/>
        <v>0.1325292017</v>
      </c>
      <c r="AD52" s="25">
        <f t="shared" si="9"/>
        <v>0.4087843397</v>
      </c>
      <c r="AE52" s="26">
        <f>P52*(1-I52)*(1+'参数表'!$C$6)*(W52+X52+H52)*1.1+0.4*1.1</f>
        <v>11.6782985</v>
      </c>
      <c r="AF52" s="26">
        <f t="shared" si="10"/>
        <v>14.771867</v>
      </c>
    </row>
    <row r="53">
      <c r="A53" s="44" t="s">
        <v>189</v>
      </c>
      <c r="B53" s="44" t="s">
        <v>190</v>
      </c>
      <c r="C53" s="30" t="s">
        <v>191</v>
      </c>
      <c r="D53" s="2" t="s">
        <v>61</v>
      </c>
      <c r="E53" s="14"/>
      <c r="F53" s="14"/>
      <c r="G53" s="50" t="s">
        <v>192</v>
      </c>
      <c r="H53" s="3">
        <v>0.05</v>
      </c>
      <c r="I53" s="3">
        <v>0.0</v>
      </c>
      <c r="J53" s="15">
        <v>2480.0</v>
      </c>
      <c r="K53" s="16">
        <v>380.0</v>
      </c>
      <c r="L53" s="16">
        <v>21.0</v>
      </c>
      <c r="M53" s="16">
        <v>6.0</v>
      </c>
      <c r="N53" s="16">
        <v>2.5</v>
      </c>
      <c r="O53" s="17">
        <f t="shared" ref="O53:O228" si="12">max(L53*M53*N53/8000*1000,K53)</f>
        <v>380</v>
      </c>
      <c r="P53" s="18">
        <v>43.9</v>
      </c>
      <c r="Q53" s="6">
        <f t="array" ref="Q53">XLOOKUP(K53/1000, '运费（邮政）'!$A$2:$A$21, '运费（邮政）'!$B$2:$B$21, "超出范围", 1)</f>
        <v>1420</v>
      </c>
      <c r="R53" s="18">
        <v>15.99</v>
      </c>
      <c r="S53" s="19">
        <f t="shared" si="2"/>
        <v>8.587823803</v>
      </c>
      <c r="T53" s="20">
        <f t="shared" si="3"/>
        <v>59.89</v>
      </c>
      <c r="U53" s="21">
        <f t="array" ref="U53">XLOOKUP(O53/1000, '运费（橙联）'!$A$2:$A$57, '运费（橙联）'!$B$2:$B$57, "超出范围", 1)</f>
        <v>1778</v>
      </c>
      <c r="V53" s="22">
        <f>(P53*'参数表'!$C$2*(1+'参数表'!$C$3))*$B$1+'参数表'!$C$4</f>
        <v>861.47098</v>
      </c>
      <c r="W53" s="3">
        <v>0.127</v>
      </c>
      <c r="X53" s="4">
        <v>0.0135</v>
      </c>
      <c r="Y53" s="23">
        <f t="shared" si="4"/>
        <v>834.397931</v>
      </c>
      <c r="Z53" s="24">
        <f t="shared" si="5"/>
        <v>0.1338506097</v>
      </c>
      <c r="AA53" s="25">
        <f t="shared" si="6"/>
        <v>0.3364507786</v>
      </c>
      <c r="AB53" s="23">
        <f t="shared" si="7"/>
        <v>1409.706912</v>
      </c>
      <c r="AC53" s="24">
        <f t="shared" si="8"/>
        <v>0.1657624556</v>
      </c>
      <c r="AD53" s="25">
        <f t="shared" si="9"/>
        <v>0.5684302065</v>
      </c>
      <c r="AE53" s="26">
        <f>P53*(1-I53)*(1+'参数表'!$C$6)*(W53+X53+H53)*1.1+0.4*1.1</f>
        <v>10.5591695</v>
      </c>
      <c r="AF53" s="26">
        <f t="shared" si="10"/>
        <v>13.909874</v>
      </c>
    </row>
    <row r="54">
      <c r="A54" s="44" t="s">
        <v>193</v>
      </c>
      <c r="C54" s="30" t="s">
        <v>194</v>
      </c>
      <c r="D54" s="2" t="s">
        <v>61</v>
      </c>
      <c r="E54" s="14"/>
      <c r="F54" s="14"/>
      <c r="G54" s="34" t="s">
        <v>195</v>
      </c>
      <c r="H54" s="3">
        <v>0.05</v>
      </c>
      <c r="I54" s="3">
        <v>0.0</v>
      </c>
      <c r="J54" s="15">
        <v>4280.0</v>
      </c>
      <c r="K54" s="16">
        <v>310.0</v>
      </c>
      <c r="L54" s="16">
        <v>27.0</v>
      </c>
      <c r="M54" s="16">
        <v>9.0</v>
      </c>
      <c r="N54" s="16">
        <v>2.0</v>
      </c>
      <c r="O54" s="17">
        <f t="shared" si="12"/>
        <v>310</v>
      </c>
      <c r="P54" s="18">
        <v>63.8</v>
      </c>
      <c r="Q54" s="6">
        <f t="array" ref="Q54">XLOOKUP(K54/1000, '运费（邮政）'!$A$2:$A$21, '运费（邮政）'!$B$2:$B$21, "超出范围", 1)</f>
        <v>1420</v>
      </c>
      <c r="R54" s="18">
        <v>18.99</v>
      </c>
      <c r="S54" s="19">
        <f t="shared" si="2"/>
        <v>10.6196138</v>
      </c>
      <c r="T54" s="20">
        <f t="shared" si="3"/>
        <v>82.79</v>
      </c>
      <c r="U54" s="21">
        <f t="array" ref="U54">XLOOKUP(O54/1000, '运费（橙联）'!$A$2:$A$57, '运费（橙联）'!$B$2:$B$57, "超出范围", 1)</f>
        <v>1778</v>
      </c>
      <c r="V54" s="22">
        <f>(P54*'参数表'!$C$2*(1+'参数表'!$C$3))*$B$1+'参数表'!$C$4</f>
        <v>1149.98516</v>
      </c>
      <c r="W54" s="3">
        <v>0.127</v>
      </c>
      <c r="X54" s="4">
        <v>0.0135</v>
      </c>
      <c r="Y54" s="23">
        <f t="shared" si="4"/>
        <v>1208.836902</v>
      </c>
      <c r="Z54" s="24">
        <f t="shared" si="5"/>
        <v>0.1334315976</v>
      </c>
      <c r="AA54" s="25">
        <f t="shared" si="6"/>
        <v>0.2824385285</v>
      </c>
      <c r="AB54" s="23">
        <f t="shared" si="7"/>
        <v>1832.363403</v>
      </c>
      <c r="AC54" s="24">
        <f t="shared" si="8"/>
        <v>0.1558638438</v>
      </c>
      <c r="AD54" s="25">
        <f t="shared" si="9"/>
        <v>0.4281222904</v>
      </c>
      <c r="AE54" s="26">
        <f>P54*(1-I54)*(1+'参数表'!$C$6)*(W54+X54+H54)*1.1+0.4*1.1</f>
        <v>15.146219</v>
      </c>
      <c r="AF54" s="26">
        <f t="shared" si="10"/>
        <v>19.1255735</v>
      </c>
    </row>
    <row r="55" ht="15.0" customHeight="1">
      <c r="A55" s="44" t="s">
        <v>196</v>
      </c>
      <c r="C55" s="30" t="s">
        <v>197</v>
      </c>
      <c r="D55" s="2" t="s">
        <v>61</v>
      </c>
      <c r="E55" s="14"/>
      <c r="F55" s="14"/>
      <c r="G55" s="34" t="s">
        <v>198</v>
      </c>
      <c r="H55" s="3">
        <v>0.05</v>
      </c>
      <c r="I55" s="3">
        <v>0.0</v>
      </c>
      <c r="J55" s="15">
        <v>3999.0</v>
      </c>
      <c r="K55" s="16">
        <v>380.0</v>
      </c>
      <c r="L55" s="16">
        <v>22.0</v>
      </c>
      <c r="M55" s="16">
        <v>6.0</v>
      </c>
      <c r="N55" s="16">
        <v>0.1</v>
      </c>
      <c r="O55" s="17">
        <f t="shared" si="12"/>
        <v>380</v>
      </c>
      <c r="P55" s="18">
        <v>59.6</v>
      </c>
      <c r="Q55" s="6">
        <f t="array" ref="Q55">XLOOKUP(K55/1000, '运费（邮政）'!$A$2:$A$21, '运费（邮政）'!$B$2:$B$21, "超出范围", 1)</f>
        <v>1420</v>
      </c>
      <c r="R55" s="18">
        <v>18.99</v>
      </c>
      <c r="S55" s="19">
        <f t="shared" si="2"/>
        <v>10.1907938</v>
      </c>
      <c r="T55" s="20">
        <f t="shared" si="3"/>
        <v>78.59</v>
      </c>
      <c r="U55" s="21">
        <f t="array" ref="U55">XLOOKUP(O55/1000, '运费（橙联）'!$A$2:$A$57, '运费（橙联）'!$B$2:$B$57, "超出范围", 1)</f>
        <v>1778</v>
      </c>
      <c r="V55" s="22">
        <f>(P55*'参数表'!$C$2*(1+'参数表'!$C$3))*$B$1+'参数表'!$C$4</f>
        <v>1089.09272</v>
      </c>
      <c r="W55" s="3">
        <v>0.127</v>
      </c>
      <c r="X55" s="4">
        <v>0.0135</v>
      </c>
      <c r="Y55" s="23">
        <f t="shared" si="4"/>
        <v>1030.910084</v>
      </c>
      <c r="Z55" s="24">
        <f t="shared" si="5"/>
        <v>0.1218109089</v>
      </c>
      <c r="AA55" s="25">
        <f t="shared" si="6"/>
        <v>0.257791969</v>
      </c>
      <c r="AB55" s="23">
        <f t="shared" si="7"/>
        <v>1715.329025</v>
      </c>
      <c r="AC55" s="24">
        <f t="shared" si="8"/>
        <v>0.1537063477</v>
      </c>
      <c r="AD55" s="25">
        <f t="shared" si="9"/>
        <v>0.4289394911</v>
      </c>
      <c r="AE55" s="26">
        <f>P55*(1-I55)*(1+'参数表'!$C$6)*(W55+X55+H55)*1.1+0.4*1.1</f>
        <v>14.178098</v>
      </c>
      <c r="AF55" s="26">
        <f t="shared" si="10"/>
        <v>18.1574525</v>
      </c>
    </row>
    <row r="56">
      <c r="A56" s="44" t="s">
        <v>199</v>
      </c>
      <c r="C56" s="30" t="s">
        <v>200</v>
      </c>
      <c r="D56" s="2" t="s">
        <v>61</v>
      </c>
      <c r="E56" s="14"/>
      <c r="F56" s="14"/>
      <c r="G56" s="34" t="s">
        <v>201</v>
      </c>
      <c r="H56" s="3">
        <v>0.05</v>
      </c>
      <c r="I56" s="3">
        <v>0.0</v>
      </c>
      <c r="J56" s="15">
        <v>999.0</v>
      </c>
      <c r="K56" s="16">
        <v>180.0</v>
      </c>
      <c r="L56" s="16">
        <v>25.0</v>
      </c>
      <c r="M56" s="16">
        <v>8.0</v>
      </c>
      <c r="N56" s="16">
        <v>2.0</v>
      </c>
      <c r="O56" s="17">
        <f t="shared" si="12"/>
        <v>180</v>
      </c>
      <c r="P56" s="18">
        <v>23.8</v>
      </c>
      <c r="Q56" s="6">
        <f t="array" ref="Q56">XLOOKUP(K56/1000, '运费（邮政）'!$A$2:$A$21, '运费（邮政）'!$B$2:$B$21, "超出范围", 1)</f>
        <v>1060</v>
      </c>
      <c r="R56" s="18">
        <v>9.99</v>
      </c>
      <c r="S56" s="19">
        <f t="shared" si="2"/>
        <v>6.176458873</v>
      </c>
      <c r="T56" s="20">
        <f t="shared" si="3"/>
        <v>33.79</v>
      </c>
      <c r="U56" s="21">
        <f t="array" ref="U56">XLOOKUP(O56/1000, '运费（橙联）'!$A$2:$A$57, '运费（橙联）'!$B$2:$B$57, "超出范围", 1)</f>
        <v>1367</v>
      </c>
      <c r="V56" s="22">
        <f>(P56*'参数表'!$C$2*(1+'参数表'!$C$3))*$B$1+'参数表'!$C$4</f>
        <v>570.05716</v>
      </c>
      <c r="W56" s="3">
        <v>0.127</v>
      </c>
      <c r="X56" s="4">
        <v>0.0135</v>
      </c>
      <c r="Y56" s="23">
        <f t="shared" si="4"/>
        <v>479.105302</v>
      </c>
      <c r="Z56" s="24">
        <f t="shared" si="5"/>
        <v>0.1417639076</v>
      </c>
      <c r="AA56" s="25">
        <f t="shared" si="6"/>
        <v>0.4795848869</v>
      </c>
      <c r="AB56" s="23">
        <f t="shared" si="7"/>
        <v>723.364703</v>
      </c>
      <c r="AC56" s="24">
        <f t="shared" si="8"/>
        <v>0.1507581423</v>
      </c>
      <c r="AD56" s="25">
        <f t="shared" si="9"/>
        <v>0.7240887918</v>
      </c>
      <c r="AE56" s="26">
        <f>P56*(1-I56)*(1+'参数表'!$C$6)*(W56+X56+H56)*1.1+0.4*1.1</f>
        <v>5.926019</v>
      </c>
      <c r="AF56" s="26">
        <f t="shared" si="10"/>
        <v>8.0194235</v>
      </c>
    </row>
    <row r="57">
      <c r="A57" s="44" t="s">
        <v>202</v>
      </c>
      <c r="C57" s="30" t="s">
        <v>203</v>
      </c>
      <c r="D57" s="2" t="s">
        <v>61</v>
      </c>
      <c r="E57" s="14"/>
      <c r="F57" s="14"/>
      <c r="G57" s="34"/>
      <c r="H57" s="3">
        <v>0.05</v>
      </c>
      <c r="I57" s="3">
        <v>0.0</v>
      </c>
      <c r="J57" s="15">
        <v>3999.0</v>
      </c>
      <c r="K57" s="16">
        <v>280.0</v>
      </c>
      <c r="L57" s="16">
        <v>34.0</v>
      </c>
      <c r="M57" s="16">
        <v>24.0</v>
      </c>
      <c r="N57" s="16">
        <v>2.0</v>
      </c>
      <c r="O57" s="17">
        <f t="shared" si="12"/>
        <v>280</v>
      </c>
      <c r="P57" s="18">
        <v>59.8</v>
      </c>
      <c r="Q57" s="6">
        <f t="array" ref="Q57">XLOOKUP(K57/1000, '运费（邮政）'!$A$2:$A$21, '运费（邮政）'!$B$2:$B$21, "超出范围", 1)</f>
        <v>1240</v>
      </c>
      <c r="R57" s="18">
        <v>18.99</v>
      </c>
      <c r="S57" s="19">
        <f t="shared" si="2"/>
        <v>10.09149549</v>
      </c>
      <c r="T57" s="20">
        <f t="shared" si="3"/>
        <v>78.79</v>
      </c>
      <c r="U57" s="21">
        <f t="array" ref="U57">XLOOKUP(O57/1000, '运费（橙联）'!$A$2:$A$57, '运费（橙联）'!$B$2:$B$57, "超出范围", 1)</f>
        <v>1581</v>
      </c>
      <c r="V57" s="22">
        <f>(P57*'参数表'!$C$2*(1+'参数表'!$C$3))*$B$1+'参数表'!$C$4</f>
        <v>1091.99236</v>
      </c>
      <c r="W57" s="3">
        <v>0.127</v>
      </c>
      <c r="X57" s="4">
        <v>0.0135</v>
      </c>
      <c r="Y57" s="23">
        <f t="shared" si="4"/>
        <v>1232.763742</v>
      </c>
      <c r="Z57" s="24">
        <f t="shared" si="5"/>
        <v>0.145174495</v>
      </c>
      <c r="AA57" s="25">
        <f t="shared" si="6"/>
        <v>0.3082680025</v>
      </c>
      <c r="AB57" s="23">
        <f t="shared" si="7"/>
        <v>1931.283043</v>
      </c>
      <c r="AC57" s="24">
        <f t="shared" si="8"/>
        <v>0.1726181598</v>
      </c>
      <c r="AD57" s="25">
        <f t="shared" si="9"/>
        <v>0.4829414961</v>
      </c>
      <c r="AE57" s="26">
        <f>P57*(1-I57)*(1+'参数表'!$C$6)*(W57+X57+H57)*1.1+0.4*1.1</f>
        <v>14.224199</v>
      </c>
      <c r="AF57" s="26">
        <f t="shared" si="10"/>
        <v>18.2035535</v>
      </c>
    </row>
    <row r="58">
      <c r="A58" s="44" t="s">
        <v>204</v>
      </c>
      <c r="C58" s="30" t="s">
        <v>205</v>
      </c>
      <c r="D58" s="2" t="s">
        <v>61</v>
      </c>
      <c r="E58" s="14"/>
      <c r="F58" s="14"/>
      <c r="G58" s="34" t="s">
        <v>206</v>
      </c>
      <c r="H58" s="3">
        <v>0.05</v>
      </c>
      <c r="I58" s="3">
        <v>0.0</v>
      </c>
      <c r="J58" s="15">
        <v>3999.0</v>
      </c>
      <c r="K58" s="16">
        <v>310.0</v>
      </c>
      <c r="L58" s="16">
        <v>26.0</v>
      </c>
      <c r="M58" s="16">
        <v>9.5</v>
      </c>
      <c r="N58" s="16">
        <v>2.0</v>
      </c>
      <c r="O58" s="17">
        <f t="shared" si="12"/>
        <v>310</v>
      </c>
      <c r="P58" s="18">
        <v>59.8</v>
      </c>
      <c r="Q58" s="6">
        <f t="array" ref="Q58">XLOOKUP(K58/1000, '运费（邮政）'!$A$2:$A$21, '运费（邮政）'!$B$2:$B$21, "超出范围", 1)</f>
        <v>1420</v>
      </c>
      <c r="R58" s="18">
        <v>18.99</v>
      </c>
      <c r="S58" s="19">
        <f t="shared" si="2"/>
        <v>10.2112138</v>
      </c>
      <c r="T58" s="20">
        <f t="shared" si="3"/>
        <v>78.79</v>
      </c>
      <c r="U58" s="21">
        <f t="array" ref="U58">XLOOKUP(O58/1000, '运费（橙联）'!$A$2:$A$57, '运费（橙联）'!$B$2:$B$57, "超出范围", 1)</f>
        <v>1778</v>
      </c>
      <c r="V58" s="22">
        <f>(P58*'参数表'!$C$2*(1+'参数表'!$C$3))*$B$1+'参数表'!$C$4</f>
        <v>1091.99236</v>
      </c>
      <c r="W58" s="3">
        <v>0.127</v>
      </c>
      <c r="X58" s="4">
        <v>0.0135</v>
      </c>
      <c r="Y58" s="23">
        <f t="shared" si="4"/>
        <v>1052.763742</v>
      </c>
      <c r="Z58" s="24">
        <f t="shared" si="5"/>
        <v>0.1239770764</v>
      </c>
      <c r="AA58" s="25">
        <f t="shared" si="6"/>
        <v>0.2632567497</v>
      </c>
      <c r="AB58" s="23">
        <f t="shared" si="7"/>
        <v>1734.283043</v>
      </c>
      <c r="AC58" s="24">
        <f t="shared" si="8"/>
        <v>0.1550102915</v>
      </c>
      <c r="AD58" s="25">
        <f t="shared" si="9"/>
        <v>0.4336791805</v>
      </c>
      <c r="AE58" s="26">
        <f>P58*(1-I58)*(1+'参数表'!$C$6)*(W58+X58+H58)*1.1+0.4*1.1</f>
        <v>14.224199</v>
      </c>
      <c r="AF58" s="26">
        <f t="shared" si="10"/>
        <v>18.2035535</v>
      </c>
    </row>
    <row r="59">
      <c r="A59" s="44" t="s">
        <v>207</v>
      </c>
      <c r="C59" s="30" t="s">
        <v>208</v>
      </c>
      <c r="E59" s="31"/>
      <c r="F59" s="31" t="s">
        <v>149</v>
      </c>
      <c r="G59" s="34" t="s">
        <v>209</v>
      </c>
      <c r="H59" s="3">
        <v>0.05</v>
      </c>
      <c r="I59" s="3">
        <v>0.0</v>
      </c>
      <c r="J59" s="15">
        <v>8980.0</v>
      </c>
      <c r="K59" s="16">
        <v>4500.0</v>
      </c>
      <c r="L59" s="16">
        <v>49.0</v>
      </c>
      <c r="M59" s="16">
        <v>40.0</v>
      </c>
      <c r="N59" s="16">
        <v>23.0</v>
      </c>
      <c r="O59" s="17">
        <f t="shared" si="12"/>
        <v>5635</v>
      </c>
      <c r="P59" s="18">
        <v>115.0</v>
      </c>
      <c r="Q59" s="6" t="str">
        <f t="array" ref="Q59">XLOOKUP(K59/1000, '运费（邮政）'!$A$2:$A$21, '运费（邮政）'!$B$2:$B$21, "超出范围", 1)</f>
        <v>超出范围</v>
      </c>
      <c r="R59" s="18"/>
      <c r="S59" s="19" t="str">
        <f t="shared" si="2"/>
        <v>#VALUE!</v>
      </c>
      <c r="T59" s="20">
        <f t="shared" si="3"/>
        <v>115</v>
      </c>
      <c r="U59" s="21">
        <f t="array" ref="U59">XLOOKUP(O59/1000, '运费（橙联）'!$A$2:$A$57, '运费（橙联）'!$B$2:$B$57, "超出范围", 1)</f>
        <v>7512</v>
      </c>
      <c r="V59" s="22">
        <f>(P59*'参数表'!$C$2*(1+'参数表'!$C$3))*$B$1+'参数表'!$C$4</f>
        <v>1892.293</v>
      </c>
      <c r="W59" s="3">
        <v>0.127</v>
      </c>
      <c r="X59" s="4">
        <v>0.0135</v>
      </c>
      <c r="Y59" s="23" t="str">
        <f t="shared" si="4"/>
        <v>#VALUE!</v>
      </c>
      <c r="Z59" s="24" t="str">
        <f t="shared" si="5"/>
        <v>#VALUE!</v>
      </c>
      <c r="AA59" s="25" t="str">
        <f t="shared" si="6"/>
        <v>#VALUE!</v>
      </c>
      <c r="AB59" s="23">
        <f t="shared" si="7"/>
        <v>-5880.91965</v>
      </c>
      <c r="AC59" s="24">
        <f t="shared" si="8"/>
        <v>-0.360129801</v>
      </c>
      <c r="AD59" s="25">
        <f t="shared" si="9"/>
        <v>-0.6548908296</v>
      </c>
      <c r="AE59" s="26">
        <f>P59*(1-I59)*(1+'参数表'!$C$6)*(W59+X59+H59)*1.1+0.4*1.1</f>
        <v>26.948075</v>
      </c>
      <c r="AF59" s="26">
        <f t="shared" si="10"/>
        <v>26.948075</v>
      </c>
    </row>
    <row r="60">
      <c r="A60" s="44" t="s">
        <v>210</v>
      </c>
      <c r="C60" s="30" t="s">
        <v>211</v>
      </c>
      <c r="D60" s="2" t="s">
        <v>61</v>
      </c>
      <c r="E60" s="14"/>
      <c r="F60" s="14"/>
      <c r="G60" s="34" t="s">
        <v>212</v>
      </c>
      <c r="H60" s="3">
        <v>0.05</v>
      </c>
      <c r="I60" s="3">
        <v>0.0</v>
      </c>
      <c r="J60" s="15">
        <v>1300.0</v>
      </c>
      <c r="K60" s="16">
        <v>310.0</v>
      </c>
      <c r="L60" s="16">
        <v>26.0</v>
      </c>
      <c r="M60" s="16">
        <v>10.0</v>
      </c>
      <c r="N60" s="16">
        <v>1.2</v>
      </c>
      <c r="O60" s="17">
        <f t="shared" si="12"/>
        <v>310</v>
      </c>
      <c r="P60" s="18">
        <v>28.8</v>
      </c>
      <c r="Q60" s="6">
        <f t="array" ref="Q60">XLOOKUP(K60/1000, '运费（邮政）'!$A$2:$A$21, '运费（邮政）'!$B$2:$B$21, "超出范围", 1)</f>
        <v>1420</v>
      </c>
      <c r="R60" s="18">
        <v>12.99</v>
      </c>
      <c r="S60" s="19">
        <f t="shared" si="2"/>
        <v>7.046113803</v>
      </c>
      <c r="T60" s="20">
        <f t="shared" si="3"/>
        <v>41.79</v>
      </c>
      <c r="U60" s="21">
        <f t="array" ref="U60">XLOOKUP(O60/1000, '运费（橙联）'!$A$2:$A$57, '运费（橙联）'!$B$2:$B$57, "超出范围", 1)</f>
        <v>1778</v>
      </c>
      <c r="V60" s="22">
        <f>(P60*'参数表'!$C$2*(1+'参数表'!$C$3))*$B$1+'参数表'!$C$4</f>
        <v>642.54816</v>
      </c>
      <c r="W60" s="3">
        <v>0.127</v>
      </c>
      <c r="X60" s="4">
        <v>0.0135</v>
      </c>
      <c r="Y60" s="23">
        <f t="shared" si="4"/>
        <v>364.446752</v>
      </c>
      <c r="Z60" s="24">
        <f t="shared" si="5"/>
        <v>0.08911550078</v>
      </c>
      <c r="AA60" s="25">
        <f t="shared" si="6"/>
        <v>0.2803436554</v>
      </c>
      <c r="AB60" s="23">
        <f t="shared" si="7"/>
        <v>821.946853</v>
      </c>
      <c r="AC60" s="24">
        <f t="shared" si="8"/>
        <v>0.1385106035</v>
      </c>
      <c r="AD60" s="25">
        <f t="shared" si="9"/>
        <v>0.63226681</v>
      </c>
      <c r="AE60" s="26">
        <f>P60*(1-I60)*(1+'参数表'!$C$6)*(W60+X60+H60)*1.1+0.4*1.1</f>
        <v>7.078544</v>
      </c>
      <c r="AF60" s="26">
        <f t="shared" si="10"/>
        <v>9.8005985</v>
      </c>
    </row>
    <row r="61">
      <c r="A61" s="44" t="s">
        <v>213</v>
      </c>
      <c r="C61" s="30" t="s">
        <v>214</v>
      </c>
      <c r="D61" s="2" t="s">
        <v>61</v>
      </c>
      <c r="E61" s="14"/>
      <c r="F61" s="14"/>
      <c r="G61" s="34" t="s">
        <v>215</v>
      </c>
      <c r="H61" s="3">
        <v>0.05</v>
      </c>
      <c r="I61" s="3">
        <v>0.0</v>
      </c>
      <c r="J61" s="15">
        <v>2973.0</v>
      </c>
      <c r="K61" s="16">
        <v>310.0</v>
      </c>
      <c r="L61" s="16">
        <v>27.0</v>
      </c>
      <c r="M61" s="16">
        <v>8.0</v>
      </c>
      <c r="N61" s="16">
        <v>2.5</v>
      </c>
      <c r="O61" s="17">
        <f t="shared" si="12"/>
        <v>310</v>
      </c>
      <c r="P61" s="18">
        <v>47.8</v>
      </c>
      <c r="Q61" s="6">
        <f t="array" ref="Q61">XLOOKUP(K61/1000, '运费（邮政）'!$A$2:$A$21, '运费（邮政）'!$B$2:$B$21, "超出范围", 1)</f>
        <v>1420</v>
      </c>
      <c r="R61" s="18">
        <v>15.99</v>
      </c>
      <c r="S61" s="19">
        <f t="shared" si="2"/>
        <v>8.986013803</v>
      </c>
      <c r="T61" s="20">
        <f t="shared" si="3"/>
        <v>63.79</v>
      </c>
      <c r="U61" s="21">
        <f t="array" ref="U61">XLOOKUP(O61/1000, '运费（橙联）'!$A$2:$A$57, '运费（橙联）'!$B$2:$B$57, "超出范围", 1)</f>
        <v>1778</v>
      </c>
      <c r="V61" s="22">
        <f>(P61*'参数表'!$C$2*(1+'参数表'!$C$3))*$B$1+'参数表'!$C$4</f>
        <v>918.01396</v>
      </c>
      <c r="W61" s="3">
        <v>0.127</v>
      </c>
      <c r="X61" s="4">
        <v>0.0135</v>
      </c>
      <c r="Y61" s="23">
        <f t="shared" si="4"/>
        <v>767.544262</v>
      </c>
      <c r="Z61" s="24">
        <f t="shared" si="5"/>
        <v>0.1130803615</v>
      </c>
      <c r="AA61" s="25">
        <f t="shared" si="6"/>
        <v>0.258171632</v>
      </c>
      <c r="AB61" s="23">
        <f t="shared" si="7"/>
        <v>1286.310263</v>
      </c>
      <c r="AC61" s="24">
        <f t="shared" si="8"/>
        <v>0.1420053767</v>
      </c>
      <c r="AD61" s="25">
        <f t="shared" si="9"/>
        <v>0.4326640642</v>
      </c>
      <c r="AE61" s="26">
        <f>P61*(1-I61)*(1+'参数表'!$C$6)*(W61+X61+H61)*1.1+0.4*1.1</f>
        <v>11.458139</v>
      </c>
      <c r="AF61" s="26">
        <f t="shared" si="10"/>
        <v>14.8088435</v>
      </c>
    </row>
    <row r="62">
      <c r="A62" s="44" t="s">
        <v>216</v>
      </c>
      <c r="C62" s="30" t="s">
        <v>217</v>
      </c>
      <c r="D62" s="2" t="s">
        <v>61</v>
      </c>
      <c r="E62" s="14"/>
      <c r="F62" s="14"/>
      <c r="G62" s="34" t="s">
        <v>218</v>
      </c>
      <c r="H62" s="3">
        <v>0.05</v>
      </c>
      <c r="I62" s="3">
        <v>0.0</v>
      </c>
      <c r="J62" s="15">
        <v>1630.0</v>
      </c>
      <c r="K62" s="16">
        <v>210.0</v>
      </c>
      <c r="L62" s="16">
        <v>18.0</v>
      </c>
      <c r="M62" s="16">
        <v>2.5</v>
      </c>
      <c r="N62" s="16">
        <v>5.0</v>
      </c>
      <c r="O62" s="17">
        <f t="shared" si="12"/>
        <v>210</v>
      </c>
      <c r="P62" s="18">
        <v>30.2</v>
      </c>
      <c r="Q62" s="6">
        <f t="array" ref="Q62">XLOOKUP(K62/1000, '运费（邮政）'!$A$2:$A$21, '运费（邮政）'!$B$2:$B$21, "超出范围", 1)</f>
        <v>1240</v>
      </c>
      <c r="R62" s="18">
        <v>12.99</v>
      </c>
      <c r="S62" s="19">
        <f t="shared" si="2"/>
        <v>7.069335493</v>
      </c>
      <c r="T62" s="20">
        <f t="shared" si="3"/>
        <v>43.19</v>
      </c>
      <c r="U62" s="21">
        <f t="array" ref="U62">XLOOKUP(O62/1000, '运费（橙联）'!$A$2:$A$57, '运费（橙联）'!$B$2:$B$57, "超出范围", 1)</f>
        <v>1581</v>
      </c>
      <c r="V62" s="22">
        <f>(P62*'参数表'!$C$2*(1+'参数表'!$C$3))*$B$1+'参数表'!$C$4</f>
        <v>662.84564</v>
      </c>
      <c r="W62" s="3">
        <v>0.127</v>
      </c>
      <c r="X62" s="4">
        <v>0.0135</v>
      </c>
      <c r="Y62" s="23">
        <f t="shared" si="4"/>
        <v>367.422358</v>
      </c>
      <c r="Z62" s="24">
        <f t="shared" si="5"/>
        <v>0.08567819187</v>
      </c>
      <c r="AA62" s="25">
        <f t="shared" si="6"/>
        <v>0.2254124896</v>
      </c>
      <c r="AB62" s="23">
        <f t="shared" si="7"/>
        <v>821.624979</v>
      </c>
      <c r="AC62" s="24">
        <f t="shared" si="8"/>
        <v>0.1339683121</v>
      </c>
      <c r="AD62" s="25">
        <f t="shared" si="9"/>
        <v>0.5040644043</v>
      </c>
      <c r="AE62" s="26">
        <f>P62*(1-I62)*(1+'参数表'!$C$6)*(W62+X62+H62)*1.1+0.4*1.1</f>
        <v>7.401251</v>
      </c>
      <c r="AF62" s="26">
        <f t="shared" si="10"/>
        <v>10.1233055</v>
      </c>
    </row>
    <row r="63">
      <c r="A63" s="44" t="s">
        <v>219</v>
      </c>
      <c r="C63" s="30" t="s">
        <v>220</v>
      </c>
      <c r="D63" s="2" t="s">
        <v>61</v>
      </c>
      <c r="E63" s="14"/>
      <c r="F63" s="14"/>
      <c r="G63" s="34" t="s">
        <v>221</v>
      </c>
      <c r="H63" s="3">
        <v>0.05</v>
      </c>
      <c r="I63" s="3">
        <v>0.0</v>
      </c>
      <c r="J63" s="15">
        <v>1280.0</v>
      </c>
      <c r="K63" s="16">
        <v>180.0</v>
      </c>
      <c r="L63" s="16">
        <v>20.0</v>
      </c>
      <c r="M63" s="16">
        <v>5.6</v>
      </c>
      <c r="N63" s="16">
        <v>2.5</v>
      </c>
      <c r="O63" s="17">
        <f t="shared" si="12"/>
        <v>180</v>
      </c>
      <c r="P63" s="18">
        <v>26.8</v>
      </c>
      <c r="Q63" s="6">
        <f t="array" ref="Q63">XLOOKUP(K63/1000, '运费（邮政）'!$A$2:$A$21, '运费（邮政）'!$B$2:$B$21, "超出范围", 1)</f>
        <v>1060</v>
      </c>
      <c r="R63" s="18">
        <v>9.99</v>
      </c>
      <c r="S63" s="19">
        <f t="shared" si="2"/>
        <v>6.482758873</v>
      </c>
      <c r="T63" s="20">
        <f t="shared" si="3"/>
        <v>36.79</v>
      </c>
      <c r="U63" s="21">
        <f t="array" ref="U63">XLOOKUP(O63/1000, '运费（橙联）'!$A$2:$A$57, '运费（橙联）'!$B$2:$B$57, "超出范围", 1)</f>
        <v>1367</v>
      </c>
      <c r="V63" s="22">
        <f>(P63*'参数表'!$C$2*(1+'参数表'!$C$3))*$B$1+'参数表'!$C$4</f>
        <v>613.55176</v>
      </c>
      <c r="W63" s="3">
        <v>0.127</v>
      </c>
      <c r="X63" s="4">
        <v>0.0135</v>
      </c>
      <c r="Y63" s="23">
        <f t="shared" si="4"/>
        <v>525.910172</v>
      </c>
      <c r="Z63" s="24">
        <f t="shared" si="5"/>
        <v>0.1381937597</v>
      </c>
      <c r="AA63" s="25">
        <f t="shared" si="6"/>
        <v>0.4108673219</v>
      </c>
      <c r="AB63" s="23">
        <f t="shared" si="7"/>
        <v>726.674973</v>
      </c>
      <c r="AC63" s="24">
        <f t="shared" si="8"/>
        <v>0.1390983797</v>
      </c>
      <c r="AD63" s="25">
        <f t="shared" si="9"/>
        <v>0.5677148227</v>
      </c>
      <c r="AE63" s="26">
        <f>P63*(1-I63)*(1+'参数表'!$C$6)*(W63+X63+H63)*1.1+0.4*1.1</f>
        <v>6.617534</v>
      </c>
      <c r="AF63" s="26">
        <f t="shared" si="10"/>
        <v>8.7109385</v>
      </c>
    </row>
    <row r="64">
      <c r="A64" s="44" t="s">
        <v>222</v>
      </c>
      <c r="C64" s="30" t="s">
        <v>223</v>
      </c>
      <c r="D64" s="2" t="s">
        <v>61</v>
      </c>
      <c r="E64" s="14"/>
      <c r="F64" s="14"/>
      <c r="G64" s="34" t="s">
        <v>224</v>
      </c>
      <c r="H64" s="3">
        <v>0.05</v>
      </c>
      <c r="I64" s="3">
        <v>0.0</v>
      </c>
      <c r="J64" s="15">
        <v>1612.0</v>
      </c>
      <c r="K64" s="16">
        <v>110.0</v>
      </c>
      <c r="L64" s="16">
        <v>16.0</v>
      </c>
      <c r="M64" s="16">
        <v>8.0</v>
      </c>
      <c r="N64" s="16">
        <v>0.1</v>
      </c>
      <c r="O64" s="17">
        <f t="shared" si="12"/>
        <v>110</v>
      </c>
      <c r="P64" s="18">
        <v>29.8</v>
      </c>
      <c r="Q64" s="6">
        <f t="array" ref="Q64">XLOOKUP(K64/1000, '运费（邮政）'!$A$2:$A$21, '运费（邮政）'!$B$2:$B$21, "超出范围", 1)</f>
        <v>1060</v>
      </c>
      <c r="R64" s="18">
        <v>12.99</v>
      </c>
      <c r="S64" s="19">
        <f t="shared" si="2"/>
        <v>6.789058873</v>
      </c>
      <c r="T64" s="20">
        <f t="shared" si="3"/>
        <v>42.79</v>
      </c>
      <c r="U64" s="21">
        <f t="array" ref="U64">XLOOKUP(O64/1000, '运费（橙联）'!$A$2:$A$57, '运费（橙联）'!$B$2:$B$57, "超出范围", 1)</f>
        <v>1367</v>
      </c>
      <c r="V64" s="22">
        <f>(P64*'参数表'!$C$2*(1+'参数表'!$C$3))*$B$1+'参数表'!$C$4</f>
        <v>657.04636</v>
      </c>
      <c r="W64" s="3">
        <v>0.127</v>
      </c>
      <c r="X64" s="4">
        <v>0.0135</v>
      </c>
      <c r="Y64" s="23">
        <f t="shared" si="4"/>
        <v>521.715042</v>
      </c>
      <c r="Z64" s="24">
        <f t="shared" si="5"/>
        <v>0.1232902547</v>
      </c>
      <c r="AA64" s="25">
        <f t="shared" si="6"/>
        <v>0.323644567</v>
      </c>
      <c r="AB64" s="23">
        <f t="shared" si="7"/>
        <v>1015.716943</v>
      </c>
      <c r="AC64" s="24">
        <f t="shared" si="8"/>
        <v>0.1671637349</v>
      </c>
      <c r="AD64" s="25">
        <f t="shared" si="9"/>
        <v>0.6300973592</v>
      </c>
      <c r="AE64" s="26">
        <f>P64*(1-I64)*(1+'参数表'!$C$6)*(W64+X64+H64)*1.1+0.4*1.1</f>
        <v>7.309049</v>
      </c>
      <c r="AF64" s="26">
        <f t="shared" si="10"/>
        <v>10.0311035</v>
      </c>
    </row>
    <row r="65">
      <c r="A65" s="44" t="s">
        <v>225</v>
      </c>
      <c r="C65" s="30" t="s">
        <v>226</v>
      </c>
      <c r="D65" s="2" t="s">
        <v>61</v>
      </c>
      <c r="E65" s="14"/>
      <c r="F65" s="14"/>
      <c r="G65" s="34" t="s">
        <v>227</v>
      </c>
      <c r="H65" s="3">
        <v>0.05</v>
      </c>
      <c r="I65" s="3">
        <v>0.0</v>
      </c>
      <c r="J65" s="15">
        <v>3300.0</v>
      </c>
      <c r="K65" s="16">
        <v>120.0</v>
      </c>
      <c r="L65" s="16">
        <v>23.0</v>
      </c>
      <c r="M65" s="16">
        <v>11.0</v>
      </c>
      <c r="N65" s="16">
        <v>10.0</v>
      </c>
      <c r="O65" s="17">
        <f t="shared" si="12"/>
        <v>316.25</v>
      </c>
      <c r="P65" s="18">
        <v>49.39</v>
      </c>
      <c r="Q65" s="6">
        <f t="array" ref="Q65">XLOOKUP(K65/1000, '运费（邮政）'!$A$2:$A$21, '运费（邮政）'!$B$2:$B$21, "超出范围", 1)</f>
        <v>1060</v>
      </c>
      <c r="R65" s="18">
        <v>18.0</v>
      </c>
      <c r="S65" s="19">
        <f t="shared" si="2"/>
        <v>11.68356407</v>
      </c>
      <c r="T65" s="20">
        <f t="shared" si="3"/>
        <v>67.39</v>
      </c>
      <c r="U65" s="21">
        <f t="array" ref="U65">XLOOKUP(O65/1000, '运费（橙联）'!$A$2:$A$57, '运费（橙联）'!$B$2:$B$57, "超出范围", 1)</f>
        <v>1778</v>
      </c>
      <c r="V65" s="22">
        <f>(P65*'参数表'!$C$2*(1+'参数表'!$C$3))*$B$1+'参数表'!$C$4</f>
        <v>941.066098</v>
      </c>
      <c r="W65" s="3">
        <v>0.127</v>
      </c>
      <c r="X65" s="4">
        <v>0.0135</v>
      </c>
      <c r="Y65" s="23">
        <f t="shared" si="4"/>
        <v>974.2808431</v>
      </c>
      <c r="Z65" s="24">
        <f t="shared" si="5"/>
        <v>0.1389174468</v>
      </c>
      <c r="AA65" s="25">
        <f t="shared" si="6"/>
        <v>0.2952366191</v>
      </c>
      <c r="AB65" s="23">
        <f t="shared" si="7"/>
        <v>1335.604945</v>
      </c>
      <c r="AC65" s="24">
        <f t="shared" si="8"/>
        <v>0.1395706875</v>
      </c>
      <c r="AD65" s="25">
        <f t="shared" si="9"/>
        <v>0.4047287712</v>
      </c>
      <c r="AE65" s="26">
        <f>P65*(1-I65)*(1+'参数表'!$C$6)*(W65+X65+H65)*1.1+0.4*1.1</f>
        <v>11.82464195</v>
      </c>
      <c r="AF65" s="26">
        <f t="shared" si="10"/>
        <v>15.59654195</v>
      </c>
    </row>
    <row r="66">
      <c r="A66" s="44" t="s">
        <v>228</v>
      </c>
      <c r="C66" s="30" t="s">
        <v>229</v>
      </c>
      <c r="D66" s="2" t="s">
        <v>61</v>
      </c>
      <c r="E66" s="14"/>
      <c r="F66" s="14"/>
      <c r="G66" s="34" t="s">
        <v>230</v>
      </c>
      <c r="H66" s="3">
        <v>0.05</v>
      </c>
      <c r="I66" s="3">
        <v>0.0</v>
      </c>
      <c r="J66" s="15">
        <v>3850.0</v>
      </c>
      <c r="K66" s="16">
        <v>280.0</v>
      </c>
      <c r="L66" s="16">
        <v>10.0</v>
      </c>
      <c r="M66" s="16">
        <v>9.0</v>
      </c>
      <c r="N66" s="16">
        <v>1.0</v>
      </c>
      <c r="O66" s="17">
        <f t="shared" si="12"/>
        <v>280</v>
      </c>
      <c r="P66" s="18">
        <v>58.9</v>
      </c>
      <c r="Q66" s="6">
        <f t="array" ref="Q66">XLOOKUP(K66/1000, '运费（邮政）'!$A$2:$A$21, '运费（邮政）'!$B$2:$B$21, "超出范围", 1)</f>
        <v>1240</v>
      </c>
      <c r="R66" s="18">
        <v>18.99</v>
      </c>
      <c r="S66" s="19">
        <f t="shared" si="2"/>
        <v>9.999605493</v>
      </c>
      <c r="T66" s="20">
        <f t="shared" si="3"/>
        <v>77.89</v>
      </c>
      <c r="U66" s="21">
        <f t="array" ref="U66">XLOOKUP(O66/1000, '运费（橙联）'!$A$2:$A$57, '运费（橙联）'!$B$2:$B$57, "超出范围", 1)</f>
        <v>1581</v>
      </c>
      <c r="V66" s="22">
        <f>(P66*'参数表'!$C$2*(1+'参数表'!$C$3))*$B$1+'参数表'!$C$4</f>
        <v>1078.94398</v>
      </c>
      <c r="W66" s="3">
        <v>0.127</v>
      </c>
      <c r="X66" s="4">
        <v>0.0135</v>
      </c>
      <c r="Y66" s="23">
        <f t="shared" si="4"/>
        <v>1283.422281</v>
      </c>
      <c r="Z66" s="24">
        <f t="shared" si="5"/>
        <v>0.1534496618</v>
      </c>
      <c r="AA66" s="25">
        <f t="shared" si="6"/>
        <v>0.3333564366</v>
      </c>
      <c r="AB66" s="23">
        <f t="shared" si="7"/>
        <v>1994.989962</v>
      </c>
      <c r="AC66" s="24">
        <f t="shared" si="8"/>
        <v>0.180372642</v>
      </c>
      <c r="AD66" s="25">
        <f t="shared" si="9"/>
        <v>0.5181792109</v>
      </c>
      <c r="AE66" s="26">
        <f>P66*(1-I66)*(1+'参数表'!$C$6)*(W66+X66+H66)*1.1+0.4*1.1</f>
        <v>14.0167445</v>
      </c>
      <c r="AF66" s="26">
        <f t="shared" si="10"/>
        <v>17.996099</v>
      </c>
    </row>
    <row r="67">
      <c r="A67" s="44" t="s">
        <v>231</v>
      </c>
      <c r="C67" s="30" t="s">
        <v>232</v>
      </c>
      <c r="D67" s="2" t="s">
        <v>61</v>
      </c>
      <c r="E67" s="14"/>
      <c r="F67" s="14"/>
      <c r="G67" s="34" t="s">
        <v>233</v>
      </c>
      <c r="H67" s="3">
        <v>0.05</v>
      </c>
      <c r="I67" s="3">
        <v>0.0</v>
      </c>
      <c r="J67" s="15">
        <v>1254.0</v>
      </c>
      <c r="K67" s="16">
        <v>280.0</v>
      </c>
      <c r="L67" s="16">
        <v>16.5</v>
      </c>
      <c r="M67" s="16">
        <v>5.0</v>
      </c>
      <c r="N67" s="16">
        <v>2.0</v>
      </c>
      <c r="O67" s="17">
        <f t="shared" si="12"/>
        <v>280</v>
      </c>
      <c r="P67" s="18">
        <v>26.9</v>
      </c>
      <c r="Q67" s="6">
        <f t="array" ref="Q67">XLOOKUP(K67/1000, '运费（邮政）'!$A$2:$A$21, '运费（邮政）'!$B$2:$B$21, "超出范围", 1)</f>
        <v>1240</v>
      </c>
      <c r="R67" s="18">
        <v>12.99</v>
      </c>
      <c r="S67" s="19">
        <f t="shared" si="2"/>
        <v>6.732405493</v>
      </c>
      <c r="T67" s="20">
        <f t="shared" si="3"/>
        <v>39.89</v>
      </c>
      <c r="U67" s="21">
        <f t="array" ref="U67">XLOOKUP(O67/1000, '运费（橙联）'!$A$2:$A$57, '运费（橙联）'!$B$2:$B$57, "超出范围", 1)</f>
        <v>1581</v>
      </c>
      <c r="V67" s="22">
        <f>(P67*'参数表'!$C$2*(1+'参数表'!$C$3))*$B$1+'参数表'!$C$4</f>
        <v>615.00158</v>
      </c>
      <c r="W67" s="3">
        <v>0.127</v>
      </c>
      <c r="X67" s="4">
        <v>0.0135</v>
      </c>
      <c r="Y67" s="23">
        <f t="shared" si="4"/>
        <v>382.837001</v>
      </c>
      <c r="Z67" s="24">
        <f t="shared" si="5"/>
        <v>0.1002243576</v>
      </c>
      <c r="AA67" s="25">
        <f t="shared" si="6"/>
        <v>0.3052926643</v>
      </c>
      <c r="AB67" s="23">
        <f t="shared" si="7"/>
        <v>884.883682</v>
      </c>
      <c r="AC67" s="24">
        <f t="shared" si="8"/>
        <v>0.1562189828</v>
      </c>
      <c r="AD67" s="25">
        <f t="shared" si="9"/>
        <v>0.7056488692</v>
      </c>
      <c r="AE67" s="26">
        <f>P67*(1-I67)*(1+'参数表'!$C$6)*(W67+X67+H67)*1.1+0.4*1.1</f>
        <v>6.6405845</v>
      </c>
      <c r="AF67" s="26">
        <f t="shared" si="10"/>
        <v>9.362639</v>
      </c>
    </row>
    <row r="68">
      <c r="A68" s="44" t="s">
        <v>234</v>
      </c>
      <c r="C68" s="30" t="s">
        <v>235</v>
      </c>
      <c r="D68" s="2" t="s">
        <v>61</v>
      </c>
      <c r="E68" s="14"/>
      <c r="F68" s="14"/>
      <c r="G68" s="34" t="s">
        <v>236</v>
      </c>
      <c r="H68" s="3">
        <v>0.05</v>
      </c>
      <c r="I68" s="3">
        <v>0.0</v>
      </c>
      <c r="J68" s="15">
        <v>1372.0</v>
      </c>
      <c r="K68" s="16">
        <v>110.0</v>
      </c>
      <c r="L68" s="16">
        <v>28.0</v>
      </c>
      <c r="M68" s="16">
        <v>10.0</v>
      </c>
      <c r="N68" s="16">
        <v>4.0</v>
      </c>
      <c r="O68" s="17">
        <f t="shared" si="12"/>
        <v>140</v>
      </c>
      <c r="P68" s="18">
        <v>26.8</v>
      </c>
      <c r="Q68" s="6">
        <f t="array" ref="Q68">XLOOKUP(K68/1000, '运费（邮政）'!$A$2:$A$21, '运费（邮政）'!$B$2:$B$21, "超出范围", 1)</f>
        <v>1060</v>
      </c>
      <c r="R68" s="18">
        <v>9.99</v>
      </c>
      <c r="S68" s="19">
        <f t="shared" si="2"/>
        <v>6.482758873</v>
      </c>
      <c r="T68" s="20">
        <f t="shared" si="3"/>
        <v>36.79</v>
      </c>
      <c r="U68" s="21">
        <f t="array" ref="U68">XLOOKUP(O68/1000, '运费（橙联）'!$A$2:$A$57, '运费（橙联）'!$B$2:$B$57, "超出范围", 1)</f>
        <v>1367</v>
      </c>
      <c r="V68" s="22">
        <f>(P68*'参数表'!$C$2*(1+'参数表'!$C$3))*$B$1+'参数表'!$C$4</f>
        <v>613.55176</v>
      </c>
      <c r="W68" s="3">
        <v>0.127</v>
      </c>
      <c r="X68" s="4">
        <v>0.0135</v>
      </c>
      <c r="Y68" s="23">
        <f t="shared" si="4"/>
        <v>433.910172</v>
      </c>
      <c r="Z68" s="24">
        <f t="shared" si="5"/>
        <v>0.1140188596</v>
      </c>
      <c r="AA68" s="25">
        <f t="shared" si="6"/>
        <v>0.3162610583</v>
      </c>
      <c r="AB68" s="23">
        <f t="shared" si="7"/>
        <v>634.674973</v>
      </c>
      <c r="AC68" s="24">
        <f t="shared" si="8"/>
        <v>0.1214879604</v>
      </c>
      <c r="AD68" s="25">
        <f t="shared" si="9"/>
        <v>0.4625910882</v>
      </c>
      <c r="AE68" s="26">
        <f>P68*(1-I68)*(1+'参数表'!$C$6)*(W68+X68+H68)*1.1+0.4*1.1</f>
        <v>6.617534</v>
      </c>
      <c r="AF68" s="26">
        <f t="shared" si="10"/>
        <v>8.7109385</v>
      </c>
    </row>
    <row r="69">
      <c r="A69" s="44" t="s">
        <v>237</v>
      </c>
      <c r="C69" s="30" t="s">
        <v>238</v>
      </c>
      <c r="D69" s="2" t="s">
        <v>61</v>
      </c>
      <c r="E69" s="14"/>
      <c r="F69" s="14"/>
      <c r="G69" s="34" t="s">
        <v>239</v>
      </c>
      <c r="H69" s="3">
        <v>0.05</v>
      </c>
      <c r="I69" s="3">
        <v>0.0</v>
      </c>
      <c r="J69" s="15">
        <v>6980.0</v>
      </c>
      <c r="K69" s="16">
        <v>2750.0</v>
      </c>
      <c r="L69" s="16">
        <v>34.0</v>
      </c>
      <c r="M69" s="16">
        <v>24.0</v>
      </c>
      <c r="N69" s="16">
        <v>2.0</v>
      </c>
      <c r="O69" s="17">
        <f t="shared" si="12"/>
        <v>2750</v>
      </c>
      <c r="P69" s="18">
        <v>87.84</v>
      </c>
      <c r="Q69" s="6" t="str">
        <f t="array" ref="Q69">XLOOKUP(K69/1000, '运费（邮政）'!$A$2:$A$21, '运费（邮政）'!$B$2:$B$21, "超出范围", 1)</f>
        <v>超出范围</v>
      </c>
      <c r="R69" s="18">
        <v>70.0</v>
      </c>
      <c r="S69" s="19" t="str">
        <f t="shared" si="2"/>
        <v>#VALUE!</v>
      </c>
      <c r="T69" s="20">
        <f t="shared" si="3"/>
        <v>157.84</v>
      </c>
      <c r="U69" s="21">
        <f t="array" ref="U69">XLOOKUP(O69/1000, '运费（橙联）'!$A$2:$A$57, '运费（橙联）'!$B$2:$B$57, "超出范围", 1)</f>
        <v>4956</v>
      </c>
      <c r="V69" s="22">
        <f>(P69*'参数表'!$C$2*(1+'参数表'!$C$3))*$B$1+'参数表'!$C$4</f>
        <v>1498.521888</v>
      </c>
      <c r="W69" s="3">
        <v>0.127</v>
      </c>
      <c r="X69" s="4">
        <v>0.0135</v>
      </c>
      <c r="Y69" s="23" t="str">
        <f t="shared" si="4"/>
        <v>#VALUE!</v>
      </c>
      <c r="Z69" s="24" t="str">
        <f t="shared" si="5"/>
        <v>#VALUE!</v>
      </c>
      <c r="AA69" s="25" t="str">
        <f t="shared" si="6"/>
        <v>#VALUE!</v>
      </c>
      <c r="AB69" s="23">
        <f t="shared" si="7"/>
        <v>3958.197706</v>
      </c>
      <c r="AC69" s="24">
        <f t="shared" si="8"/>
        <v>0.1766005558</v>
      </c>
      <c r="AD69" s="25">
        <f t="shared" si="9"/>
        <v>0.5670770352</v>
      </c>
      <c r="AE69" s="26">
        <f>P69*(1-I69)*(1+'参数表'!$C$6)*(W69+X69+H69)*1.1+0.4*1.1</f>
        <v>20.6875592</v>
      </c>
      <c r="AF69" s="26">
        <f t="shared" si="10"/>
        <v>35.3560592</v>
      </c>
    </row>
    <row r="70">
      <c r="A70" s="44" t="s">
        <v>240</v>
      </c>
      <c r="C70" s="30" t="s">
        <v>241</v>
      </c>
      <c r="D70" s="2" t="s">
        <v>61</v>
      </c>
      <c r="E70" s="14"/>
      <c r="F70" s="14"/>
      <c r="G70" s="34" t="s">
        <v>242</v>
      </c>
      <c r="H70" s="3">
        <v>0.05</v>
      </c>
      <c r="I70" s="3">
        <v>0.0</v>
      </c>
      <c r="J70" s="15">
        <v>1299.0</v>
      </c>
      <c r="K70" s="16">
        <v>150.0</v>
      </c>
      <c r="L70" s="16">
        <v>25.0</v>
      </c>
      <c r="M70" s="16">
        <v>8.0</v>
      </c>
      <c r="N70" s="16">
        <v>2.0</v>
      </c>
      <c r="O70" s="17">
        <f t="shared" si="12"/>
        <v>150</v>
      </c>
      <c r="P70" s="18">
        <v>26.9</v>
      </c>
      <c r="Q70" s="6">
        <f t="array" ref="Q70">XLOOKUP(K70/1000, '运费（邮政）'!$A$2:$A$21, '运费（邮政）'!$B$2:$B$21, "超出范围", 1)</f>
        <v>1060</v>
      </c>
      <c r="R70" s="18">
        <v>9.99</v>
      </c>
      <c r="S70" s="19">
        <f t="shared" si="2"/>
        <v>6.492968873</v>
      </c>
      <c r="T70" s="20">
        <f t="shared" si="3"/>
        <v>36.89</v>
      </c>
      <c r="U70" s="21">
        <f t="array" ref="U70">XLOOKUP(O70/1000, '运费（橙联）'!$A$2:$A$57, '运费（橙联）'!$B$2:$B$57, "超出范围", 1)</f>
        <v>1367</v>
      </c>
      <c r="V70" s="22">
        <f>(P70*'参数表'!$C$2*(1+'参数表'!$C$3))*$B$1+'参数表'!$C$4</f>
        <v>615.00158</v>
      </c>
      <c r="W70" s="3">
        <v>0.127</v>
      </c>
      <c r="X70" s="4">
        <v>0.0135</v>
      </c>
      <c r="Y70" s="23">
        <f t="shared" si="4"/>
        <v>517.837001</v>
      </c>
      <c r="Z70" s="24">
        <f t="shared" si="5"/>
        <v>0.1355665221</v>
      </c>
      <c r="AA70" s="25">
        <f t="shared" si="6"/>
        <v>0.3986428029</v>
      </c>
      <c r="AB70" s="23">
        <f t="shared" si="7"/>
        <v>717.151982</v>
      </c>
      <c r="AC70" s="24">
        <f t="shared" si="8"/>
        <v>0.1369033904</v>
      </c>
      <c r="AD70" s="25">
        <f t="shared" si="9"/>
        <v>0.5520800477</v>
      </c>
      <c r="AE70" s="26">
        <f>P70*(1-I70)*(1+'参数表'!$C$6)*(W70+X70+H70)*1.1+0.4*1.1</f>
        <v>6.6405845</v>
      </c>
      <c r="AF70" s="26">
        <f t="shared" si="10"/>
        <v>8.733989</v>
      </c>
    </row>
    <row r="71">
      <c r="A71" s="44" t="s">
        <v>243</v>
      </c>
      <c r="C71" s="30" t="s">
        <v>244</v>
      </c>
      <c r="D71" s="2" t="s">
        <v>61</v>
      </c>
      <c r="E71" s="14"/>
      <c r="F71" s="14"/>
      <c r="G71" s="34" t="s">
        <v>245</v>
      </c>
      <c r="H71" s="3">
        <v>0.05</v>
      </c>
      <c r="I71" s="3">
        <v>0.0</v>
      </c>
      <c r="J71" s="15">
        <v>1170.0</v>
      </c>
      <c r="K71" s="16">
        <v>80.0</v>
      </c>
      <c r="L71" s="16">
        <v>10.0</v>
      </c>
      <c r="M71" s="16">
        <v>5.0</v>
      </c>
      <c r="N71" s="16">
        <v>0.1</v>
      </c>
      <c r="O71" s="17">
        <f t="shared" si="12"/>
        <v>80</v>
      </c>
      <c r="P71" s="18">
        <v>23.8</v>
      </c>
      <c r="Q71" s="6">
        <f t="array" ref="Q71">XLOOKUP(K71/1000, '运费（邮政）'!$A$2:$A$21, '运费（邮政）'!$B$2:$B$21, "超出范围", 1)</f>
        <v>880</v>
      </c>
      <c r="R71" s="18">
        <v>9.99</v>
      </c>
      <c r="S71" s="19">
        <f t="shared" si="2"/>
        <v>6.458149014</v>
      </c>
      <c r="T71" s="20">
        <f t="shared" si="3"/>
        <v>33.79</v>
      </c>
      <c r="U71" s="21">
        <f t="array" ref="U71">XLOOKUP(O71/1000, '运费（橙联）'!$A$2:$A$57, '运费（橙联）'!$B$2:$B$57, "超出范围", 1)</f>
        <v>1227</v>
      </c>
      <c r="V71" s="22">
        <f>(P71*'参数表'!$C$2*(1+'参数表'!$C$3))*$B$1+'参数表'!$C$4</f>
        <v>570.05716</v>
      </c>
      <c r="W71" s="3">
        <v>0.127</v>
      </c>
      <c r="X71" s="4">
        <v>0.0135</v>
      </c>
      <c r="Y71" s="23">
        <f t="shared" si="4"/>
        <v>488.105302</v>
      </c>
      <c r="Z71" s="24">
        <f t="shared" si="5"/>
        <v>0.1444269446</v>
      </c>
      <c r="AA71" s="25">
        <f t="shared" si="6"/>
        <v>0.4171840188</v>
      </c>
      <c r="AB71" s="23">
        <f t="shared" si="7"/>
        <v>692.364703</v>
      </c>
      <c r="AC71" s="24">
        <f t="shared" si="8"/>
        <v>0.1442973592</v>
      </c>
      <c r="AD71" s="25">
        <f t="shared" si="9"/>
        <v>0.5917647034</v>
      </c>
      <c r="AE71" s="26">
        <f>P71*(1-I71)*(1+'参数表'!$C$6)*(W71+X71+H71)*1.1+0.4*1.1</f>
        <v>5.926019</v>
      </c>
      <c r="AF71" s="26">
        <f t="shared" si="10"/>
        <v>8.0194235</v>
      </c>
    </row>
    <row r="72">
      <c r="A72" s="44" t="s">
        <v>246</v>
      </c>
      <c r="C72" s="30" t="s">
        <v>247</v>
      </c>
      <c r="D72" s="2" t="s">
        <v>61</v>
      </c>
      <c r="E72" s="14"/>
      <c r="F72" s="14"/>
      <c r="G72" s="34" t="s">
        <v>248</v>
      </c>
      <c r="H72" s="3">
        <v>0.05</v>
      </c>
      <c r="I72" s="3">
        <v>0.0</v>
      </c>
      <c r="J72" s="15">
        <v>4327.0</v>
      </c>
      <c r="K72" s="16">
        <v>210.0</v>
      </c>
      <c r="L72" s="16">
        <v>22.0</v>
      </c>
      <c r="M72" s="16">
        <v>11.0</v>
      </c>
      <c r="N72" s="16">
        <v>2.0</v>
      </c>
      <c r="O72" s="17">
        <f t="shared" si="12"/>
        <v>210</v>
      </c>
      <c r="P72" s="18">
        <v>64.8</v>
      </c>
      <c r="Q72" s="6">
        <f t="array" ref="Q72">XLOOKUP(K72/1000, '运费（邮政）'!$A$2:$A$21, '运费（邮政）'!$B$2:$B$21, "超出范围", 1)</f>
        <v>1240</v>
      </c>
      <c r="R72" s="18">
        <v>15.99</v>
      </c>
      <c r="S72" s="19">
        <f t="shared" si="2"/>
        <v>10.60199549</v>
      </c>
      <c r="T72" s="20">
        <f t="shared" si="3"/>
        <v>80.79</v>
      </c>
      <c r="U72" s="21">
        <f t="array" ref="U72">XLOOKUP(O72/1000, '运费（橙联）'!$A$2:$A$57, '运费（橙联）'!$B$2:$B$57, "超出范围", 1)</f>
        <v>1581</v>
      </c>
      <c r="V72" s="22">
        <f>(P72*'参数表'!$C$2*(1+'参数表'!$C$3))*$B$1+'参数表'!$C$4</f>
        <v>1164.48336</v>
      </c>
      <c r="W72" s="3">
        <v>0.127</v>
      </c>
      <c r="X72" s="4">
        <v>0.0135</v>
      </c>
      <c r="Y72" s="23">
        <f t="shared" si="4"/>
        <v>1451.105192</v>
      </c>
      <c r="Z72" s="24">
        <f t="shared" si="5"/>
        <v>0.1577013989</v>
      </c>
      <c r="AA72" s="25">
        <f t="shared" si="6"/>
        <v>0.3353605713</v>
      </c>
      <c r="AB72" s="23">
        <f t="shared" si="7"/>
        <v>1740.401793</v>
      </c>
      <c r="AC72" s="24">
        <f t="shared" si="8"/>
        <v>0.1517062836</v>
      </c>
      <c r="AD72" s="25">
        <f t="shared" si="9"/>
        <v>0.4022190416</v>
      </c>
      <c r="AE72" s="26">
        <f>P72*(1-I72)*(1+'参数表'!$C$6)*(W72+X72+H72)*1.1+0.4*1.1</f>
        <v>15.376724</v>
      </c>
      <c r="AF72" s="26">
        <f t="shared" si="10"/>
        <v>18.7274285</v>
      </c>
    </row>
    <row r="73">
      <c r="A73" s="2" t="s">
        <v>249</v>
      </c>
      <c r="C73" s="30" t="s">
        <v>250</v>
      </c>
      <c r="E73" s="14"/>
      <c r="F73" s="14"/>
      <c r="G73" s="13" t="s">
        <v>251</v>
      </c>
      <c r="H73" s="3">
        <v>0.05</v>
      </c>
      <c r="I73" s="3">
        <v>0.0</v>
      </c>
      <c r="J73" s="15">
        <v>2899.0</v>
      </c>
      <c r="K73" s="16">
        <v>372.0</v>
      </c>
      <c r="L73" s="16">
        <v>25.0</v>
      </c>
      <c r="M73" s="16">
        <v>20.0</v>
      </c>
      <c r="N73" s="16">
        <v>7.0</v>
      </c>
      <c r="O73" s="17">
        <f t="shared" si="12"/>
        <v>437.5</v>
      </c>
      <c r="P73" s="18">
        <v>49.39</v>
      </c>
      <c r="Q73" s="6">
        <f t="array" ref="Q73">XLOOKUP(K73/1000, '运费（邮政）'!$A$2:$A$21, '运费（邮政）'!$B$2:$B$21, "超出范围", 1)</f>
        <v>1420</v>
      </c>
      <c r="R73" s="18">
        <v>21.99</v>
      </c>
      <c r="S73" s="19">
        <f t="shared" si="2"/>
        <v>11.1342683</v>
      </c>
      <c r="T73" s="20">
        <f t="shared" si="3"/>
        <v>71.38</v>
      </c>
      <c r="U73" s="21">
        <f t="array" ref="U73">XLOOKUP(O73/1000, '运费（橙联）'!$A$2:$A$57, '运费（橙联）'!$B$2:$B$57, "超出范围", 1)</f>
        <v>2060</v>
      </c>
      <c r="V73" s="22">
        <f>(P73*'参数表'!$C$2*(1+'参数表'!$C$3))*$B$1+'参数表'!$C$4</f>
        <v>941.066098</v>
      </c>
      <c r="W73" s="3">
        <v>0.127</v>
      </c>
      <c r="X73" s="4">
        <v>0.0135</v>
      </c>
      <c r="Y73" s="23">
        <f t="shared" si="4"/>
        <v>1015.280843</v>
      </c>
      <c r="Z73" s="24">
        <f t="shared" si="5"/>
        <v>0.1447634155</v>
      </c>
      <c r="AA73" s="25">
        <f t="shared" si="6"/>
        <v>0.3502176071</v>
      </c>
      <c r="AB73" s="23">
        <f t="shared" si="7"/>
        <v>1902.458106</v>
      </c>
      <c r="AC73" s="24">
        <f t="shared" si="8"/>
        <v>0.187693924</v>
      </c>
      <c r="AD73" s="25">
        <f t="shared" si="9"/>
        <v>0.6562463284</v>
      </c>
      <c r="AE73" s="26">
        <f>P73*(1-I73)*(1+'参数表'!$C$6)*(W73+X73+H73)*1.1+0.4*1.1</f>
        <v>11.82464195</v>
      </c>
      <c r="AF73" s="26">
        <f t="shared" si="10"/>
        <v>16.43264645</v>
      </c>
    </row>
    <row r="74">
      <c r="A74" s="51" t="s">
        <v>252</v>
      </c>
      <c r="C74" s="30" t="s">
        <v>253</v>
      </c>
      <c r="D74" s="2" t="s">
        <v>61</v>
      </c>
      <c r="E74" s="14"/>
      <c r="F74" s="14"/>
      <c r="G74" s="13" t="s">
        <v>254</v>
      </c>
      <c r="H74" s="3">
        <v>0.05</v>
      </c>
      <c r="I74" s="3">
        <v>0.0</v>
      </c>
      <c r="J74" s="15">
        <v>3175.0</v>
      </c>
      <c r="K74" s="16">
        <v>100.0</v>
      </c>
      <c r="L74" s="16">
        <v>16.0</v>
      </c>
      <c r="M74" s="16">
        <v>9.0</v>
      </c>
      <c r="N74" s="16">
        <v>8.0</v>
      </c>
      <c r="O74" s="17">
        <f t="shared" si="12"/>
        <v>144</v>
      </c>
      <c r="P74" s="18">
        <v>49.28</v>
      </c>
      <c r="Q74" s="6">
        <f t="array" ref="Q74">XLOOKUP(K74/1000, '运费（邮政）'!$A$2:$A$21, '运费（邮政）'!$B$2:$B$21, "超出范围", 1)</f>
        <v>880</v>
      </c>
      <c r="R74" s="18">
        <v>15.99</v>
      </c>
      <c r="S74" s="19">
        <f t="shared" si="2"/>
        <v>10.04557251</v>
      </c>
      <c r="T74" s="20">
        <f t="shared" si="3"/>
        <v>65.27</v>
      </c>
      <c r="U74" s="21">
        <f t="array" ref="U74">XLOOKUP(O74/1000, '运费（橙联）'!$A$2:$A$57, '运费（橙联）'!$B$2:$B$57, "超出范围", 1)</f>
        <v>1367</v>
      </c>
      <c r="V74" s="22">
        <f>(P74*'参数表'!$C$2*(1+'参数表'!$C$3))*$B$1+'参数表'!$C$4</f>
        <v>939.471296</v>
      </c>
      <c r="W74" s="3">
        <v>0.127</v>
      </c>
      <c r="X74" s="4">
        <v>0.0135</v>
      </c>
      <c r="Y74" s="23">
        <f t="shared" si="4"/>
        <v>1267.261331</v>
      </c>
      <c r="Z74" s="24">
        <f t="shared" si="5"/>
        <v>0.1810952835</v>
      </c>
      <c r="AA74" s="25">
        <f t="shared" si="6"/>
        <v>0.3991374271</v>
      </c>
      <c r="AB74" s="23">
        <f t="shared" si="7"/>
        <v>1635.569996</v>
      </c>
      <c r="AC74" s="24">
        <f t="shared" si="8"/>
        <v>0.1764684934</v>
      </c>
      <c r="AD74" s="25">
        <f t="shared" si="9"/>
        <v>0.5151401563</v>
      </c>
      <c r="AE74" s="26">
        <f>P74*(1-I74)*(1+'参数表'!$C$6)*(W74+X74+H74)*1.1+0.4*1.1</f>
        <v>11.7992864</v>
      </c>
      <c r="AF74" s="26">
        <f t="shared" si="10"/>
        <v>15.1499909</v>
      </c>
    </row>
    <row r="75">
      <c r="A75" s="44" t="s">
        <v>255</v>
      </c>
      <c r="C75" s="30" t="s">
        <v>256</v>
      </c>
      <c r="D75" s="2" t="s">
        <v>54</v>
      </c>
      <c r="E75" s="14"/>
      <c r="F75" s="14"/>
      <c r="G75" s="40"/>
      <c r="H75" s="3">
        <v>0.05</v>
      </c>
      <c r="I75" s="3">
        <v>0.0</v>
      </c>
      <c r="J75" s="15"/>
      <c r="K75" s="16"/>
      <c r="L75" s="16">
        <v>34.0</v>
      </c>
      <c r="M75" s="16">
        <v>24.0</v>
      </c>
      <c r="N75" s="16">
        <v>2.0</v>
      </c>
      <c r="O75" s="17">
        <f t="shared" si="12"/>
        <v>204</v>
      </c>
      <c r="P75" s="18"/>
      <c r="Q75" s="6">
        <f t="array" ref="Q75">XLOOKUP(K75/1000, '运费（邮政）'!$A$2:$A$21, '运费（邮政）'!$B$2:$B$21, "超出范围", 1)</f>
        <v>880</v>
      </c>
      <c r="R75" s="18"/>
      <c r="S75" s="19">
        <f t="shared" si="2"/>
        <v>6.521126761</v>
      </c>
      <c r="T75" s="20">
        <f t="shared" si="3"/>
        <v>0</v>
      </c>
      <c r="U75" s="21">
        <f t="array" ref="U75">XLOOKUP(O75/1000, '运费（橙联）'!$A$2:$A$57, '运费（橙联）'!$B$2:$B$57, "超出范围", 1)</f>
        <v>1581</v>
      </c>
      <c r="V75" s="22">
        <f>(P75*'参数表'!$C$2*(1+'参数表'!$C$3))*$B$1+'参数表'!$C$4</f>
        <v>225</v>
      </c>
      <c r="W75" s="3">
        <v>0.127</v>
      </c>
      <c r="X75" s="4">
        <v>0.0135</v>
      </c>
      <c r="Y75" s="23">
        <f t="shared" si="4"/>
        <v>-942.48</v>
      </c>
      <c r="Z75" s="24" t="str">
        <f t="shared" si="5"/>
        <v>#DIV/0!</v>
      </c>
      <c r="AA75" s="25" t="str">
        <f t="shared" si="6"/>
        <v>#DIV/0!</v>
      </c>
      <c r="AB75" s="23">
        <f t="shared" si="7"/>
        <v>-1868.48</v>
      </c>
      <c r="AC75" s="24" t="str">
        <f t="shared" si="8"/>
        <v>#DIV/0!</v>
      </c>
      <c r="AD75" s="25" t="str">
        <f t="shared" si="9"/>
        <v>#DIV/0!</v>
      </c>
      <c r="AE75" s="26">
        <f>P75*(1-I75)*(1+'参数表'!$C$6)*(W75+X75+H75)*1.1+0.4*1.1</f>
        <v>0.44</v>
      </c>
      <c r="AF75" s="26">
        <f t="shared" si="10"/>
        <v>0.44</v>
      </c>
    </row>
    <row r="76">
      <c r="A76" s="44" t="s">
        <v>257</v>
      </c>
      <c r="C76" s="30" t="s">
        <v>258</v>
      </c>
      <c r="D76" s="2" t="s">
        <v>61</v>
      </c>
      <c r="E76" s="14"/>
      <c r="F76" s="14"/>
      <c r="G76" s="32"/>
      <c r="H76" s="3">
        <v>0.05</v>
      </c>
      <c r="I76" s="3">
        <v>0.0</v>
      </c>
      <c r="J76" s="15">
        <v>3314.0</v>
      </c>
      <c r="K76" s="16">
        <v>310.0</v>
      </c>
      <c r="L76" s="16">
        <v>34.0</v>
      </c>
      <c r="M76" s="16">
        <v>24.0</v>
      </c>
      <c r="N76" s="16">
        <v>2.0</v>
      </c>
      <c r="O76" s="17">
        <f t="shared" si="12"/>
        <v>310</v>
      </c>
      <c r="P76" s="18">
        <v>52.8</v>
      </c>
      <c r="Q76" s="6">
        <f t="array" ref="Q76">XLOOKUP(K76/1000, '运费（邮政）'!$A$2:$A$21, '运费（邮政）'!$B$2:$B$21, "超出范围", 1)</f>
        <v>1420</v>
      </c>
      <c r="R76" s="18">
        <v>15.99</v>
      </c>
      <c r="S76" s="19">
        <f t="shared" si="2"/>
        <v>9.496513803</v>
      </c>
      <c r="T76" s="20">
        <f t="shared" si="3"/>
        <v>68.79</v>
      </c>
      <c r="U76" s="21">
        <f t="array" ref="U76">XLOOKUP(O76/1000, '运费（橙联）'!$A$2:$A$57, '运费（橙联）'!$B$2:$B$57, "超出范围", 1)</f>
        <v>1778</v>
      </c>
      <c r="V76" s="22">
        <f>(P76*'参数表'!$C$2*(1+'参数表'!$C$3))*$B$1+'参数表'!$C$4</f>
        <v>990.50496</v>
      </c>
      <c r="W76" s="3">
        <v>0.127</v>
      </c>
      <c r="X76" s="4">
        <v>0.0135</v>
      </c>
      <c r="Y76" s="23">
        <f t="shared" si="4"/>
        <v>972.885712</v>
      </c>
      <c r="Z76" s="24">
        <f t="shared" si="5"/>
        <v>0.129759618</v>
      </c>
      <c r="AA76" s="25">
        <f t="shared" si="6"/>
        <v>0.2935684104</v>
      </c>
      <c r="AB76" s="23">
        <f t="shared" si="7"/>
        <v>1419.160713</v>
      </c>
      <c r="AC76" s="24">
        <f t="shared" si="8"/>
        <v>0.1452840461</v>
      </c>
      <c r="AD76" s="25">
        <f t="shared" si="9"/>
        <v>0.4282319593</v>
      </c>
      <c r="AE76" s="26">
        <f>P76*(1-I76)*(1+'参数表'!$C$6)*(W76+X76+H76)*1.1+0.4*1.1</f>
        <v>12.610664</v>
      </c>
      <c r="AF76" s="26">
        <f t="shared" si="10"/>
        <v>15.9613685</v>
      </c>
    </row>
    <row r="77">
      <c r="A77" s="44" t="s">
        <v>259</v>
      </c>
      <c r="C77" s="30" t="s">
        <v>260</v>
      </c>
      <c r="D77" s="2" t="s">
        <v>61</v>
      </c>
      <c r="E77" s="14"/>
      <c r="F77" s="14"/>
      <c r="G77" s="34" t="s">
        <v>261</v>
      </c>
      <c r="H77" s="3">
        <v>0.05</v>
      </c>
      <c r="I77" s="3">
        <v>0.0</v>
      </c>
      <c r="J77" s="15">
        <v>1114.0</v>
      </c>
      <c r="K77" s="16">
        <v>590.0</v>
      </c>
      <c r="L77" s="16">
        <v>31.0</v>
      </c>
      <c r="M77" s="16">
        <v>13.0</v>
      </c>
      <c r="N77" s="16">
        <v>3.5</v>
      </c>
      <c r="O77" s="17">
        <f t="shared" si="12"/>
        <v>590</v>
      </c>
      <c r="P77" s="18">
        <v>29.8</v>
      </c>
      <c r="Q77" s="6">
        <f t="array" ref="Q77">XLOOKUP(K77/1000, '运费（邮政）'!$A$2:$A$21, '运费（邮政）'!$B$2:$B$21, "超出范围", 1)</f>
        <v>1780</v>
      </c>
      <c r="R77" s="18">
        <v>12.99</v>
      </c>
      <c r="S77" s="19">
        <f t="shared" si="2"/>
        <v>7.739763099</v>
      </c>
      <c r="T77" s="20">
        <f t="shared" si="3"/>
        <v>42.79</v>
      </c>
      <c r="U77" s="21">
        <f t="array" ref="U77">XLOOKUP(O77/1000, '运费（橙联）'!$A$2:$A$57, '运费（橙联）'!$B$2:$B$57, "超出范围", 1)</f>
        <v>2222</v>
      </c>
      <c r="V77" s="22">
        <f>(P77*'参数表'!$C$2*(1+'参数表'!$C$3))*$B$1+'参数表'!$C$4</f>
        <v>657.04636</v>
      </c>
      <c r="W77" s="3">
        <v>0.127</v>
      </c>
      <c r="X77" s="4">
        <v>0.0135</v>
      </c>
      <c r="Y77" s="23">
        <f t="shared" si="4"/>
        <v>299.715042</v>
      </c>
      <c r="Z77" s="24">
        <f t="shared" si="5"/>
        <v>0.07082782919</v>
      </c>
      <c r="AA77" s="25">
        <f t="shared" si="6"/>
        <v>0.2690440233</v>
      </c>
      <c r="AB77" s="23">
        <f t="shared" si="7"/>
        <v>658.716943</v>
      </c>
      <c r="AC77" s="24">
        <f t="shared" si="8"/>
        <v>0.1084097151</v>
      </c>
      <c r="AD77" s="25">
        <f t="shared" si="9"/>
        <v>0.5913078483</v>
      </c>
      <c r="AE77" s="26">
        <f>P77*(1-I77)*(1+'参数表'!$C$6)*(W77+X77+H77)*1.1+0.4*1.1</f>
        <v>7.309049</v>
      </c>
      <c r="AF77" s="26">
        <f t="shared" si="10"/>
        <v>10.0311035</v>
      </c>
    </row>
    <row r="78">
      <c r="A78" s="44" t="s">
        <v>262</v>
      </c>
      <c r="C78" s="30" t="s">
        <v>263</v>
      </c>
      <c r="D78" s="2" t="s">
        <v>61</v>
      </c>
      <c r="E78" s="31"/>
      <c r="F78" s="31"/>
      <c r="G78" s="34" t="s">
        <v>264</v>
      </c>
      <c r="H78" s="3">
        <v>0.05</v>
      </c>
      <c r="I78" s="3">
        <v>0.0</v>
      </c>
      <c r="J78" s="15">
        <v>5580.0</v>
      </c>
      <c r="K78" s="16">
        <v>1200.0</v>
      </c>
      <c r="L78" s="16">
        <v>29.0</v>
      </c>
      <c r="M78" s="16">
        <v>3.8</v>
      </c>
      <c r="N78" s="16">
        <v>23.0</v>
      </c>
      <c r="O78" s="17">
        <f t="shared" si="12"/>
        <v>1200</v>
      </c>
      <c r="P78" s="18">
        <v>89.2</v>
      </c>
      <c r="Q78" s="6">
        <f t="array" ref="Q78">XLOOKUP(K78/1000, '运费（邮政）'!$A$2:$A$21, '运费（邮政）'!$B$2:$B$21, "超出范围", 1)</f>
        <v>2860</v>
      </c>
      <c r="R78" s="18">
        <v>24.99</v>
      </c>
      <c r="S78" s="19">
        <f t="shared" si="2"/>
        <v>13.43830592</v>
      </c>
      <c r="T78" s="20">
        <f t="shared" si="3"/>
        <v>114.19</v>
      </c>
      <c r="U78" s="21">
        <f t="array" ref="U78">XLOOKUP(O78/1000, '运费（橙联）'!$A$2:$A$57, '运费（橙联）'!$B$2:$B$57, "超出范围", 1)</f>
        <v>3250</v>
      </c>
      <c r="V78" s="22">
        <f>(P78*'参数表'!$C$2*(1+'参数表'!$C$3))*$B$1+'参数表'!$C$4</f>
        <v>1518.23944</v>
      </c>
      <c r="W78" s="3">
        <v>0.127</v>
      </c>
      <c r="X78" s="4">
        <v>0.0135</v>
      </c>
      <c r="Y78" s="23">
        <f t="shared" si="4"/>
        <v>1244.251468</v>
      </c>
      <c r="Z78" s="24">
        <f t="shared" si="5"/>
        <v>0.0982324471</v>
      </c>
      <c r="AA78" s="25">
        <f t="shared" si="6"/>
        <v>0.2229841341</v>
      </c>
      <c r="AB78" s="23">
        <f t="shared" si="7"/>
        <v>2140.987089</v>
      </c>
      <c r="AC78" s="24">
        <f t="shared" si="8"/>
        <v>0.1320376028</v>
      </c>
      <c r="AD78" s="25">
        <f t="shared" si="9"/>
        <v>0.3836894425</v>
      </c>
      <c r="AE78" s="26">
        <f>P78*(1-I78)*(1+'参数表'!$C$6)*(W78+X78+H78)*1.1+0.4*1.1</f>
        <v>21.001046</v>
      </c>
      <c r="AF78" s="26">
        <f t="shared" si="10"/>
        <v>26.2377005</v>
      </c>
    </row>
    <row r="79">
      <c r="A79" s="44" t="s">
        <v>265</v>
      </c>
      <c r="C79" s="30" t="s">
        <v>266</v>
      </c>
      <c r="D79" s="2" t="s">
        <v>61</v>
      </c>
      <c r="E79" s="31"/>
      <c r="F79" s="31"/>
      <c r="G79" s="32"/>
      <c r="H79" s="3">
        <v>0.05</v>
      </c>
      <c r="I79" s="3">
        <v>0.0</v>
      </c>
      <c r="J79" s="15">
        <v>2170.0</v>
      </c>
      <c r="K79" s="16">
        <v>510.0</v>
      </c>
      <c r="L79" s="16">
        <v>34.0</v>
      </c>
      <c r="M79" s="16">
        <v>24.0</v>
      </c>
      <c r="N79" s="16">
        <v>2.0</v>
      </c>
      <c r="O79" s="17">
        <f t="shared" si="12"/>
        <v>510</v>
      </c>
      <c r="P79" s="18">
        <v>42.8</v>
      </c>
      <c r="Q79" s="6">
        <f t="array" ref="Q79">XLOOKUP(K79/1000, '运费（邮政）'!$A$2:$A$21, '运费（邮政）'!$B$2:$B$21, "超出范围", 1)</f>
        <v>1780</v>
      </c>
      <c r="R79" s="18">
        <v>15.99</v>
      </c>
      <c r="S79" s="19">
        <f t="shared" si="2"/>
        <v>9.067063099</v>
      </c>
      <c r="T79" s="20">
        <f t="shared" si="3"/>
        <v>58.79</v>
      </c>
      <c r="U79" s="21">
        <f t="array" ref="U79">XLOOKUP(O79/1000, '运费（橙联）'!$A$2:$A$57, '运费（橙联）'!$B$2:$B$57, "超出范围", 1)</f>
        <v>2222</v>
      </c>
      <c r="V79" s="22">
        <f>(P79*'参数表'!$C$2*(1+'参数表'!$C$3))*$B$1+'参数表'!$C$4</f>
        <v>845.52296</v>
      </c>
      <c r="W79" s="3">
        <v>0.127</v>
      </c>
      <c r="X79" s="4">
        <v>0.0135</v>
      </c>
      <c r="Y79" s="23">
        <f t="shared" si="4"/>
        <v>664.202812</v>
      </c>
      <c r="Z79" s="24">
        <f t="shared" si="5"/>
        <v>0.1092870232</v>
      </c>
      <c r="AA79" s="25">
        <f t="shared" si="6"/>
        <v>0.3060842452</v>
      </c>
      <c r="AB79" s="23">
        <f t="shared" si="7"/>
        <v>1171.459813</v>
      </c>
      <c r="AC79" s="24">
        <f t="shared" si="8"/>
        <v>0.1403251742</v>
      </c>
      <c r="AD79" s="25">
        <f t="shared" si="9"/>
        <v>0.5398432318</v>
      </c>
      <c r="AE79" s="26">
        <f>P79*(1-I79)*(1+'参数表'!$C$6)*(W79+X79+H79)*1.1+0.4*1.1</f>
        <v>10.305614</v>
      </c>
      <c r="AF79" s="26">
        <f t="shared" si="10"/>
        <v>13.6563185</v>
      </c>
    </row>
    <row r="80">
      <c r="A80" s="44" t="s">
        <v>267</v>
      </c>
      <c r="C80" s="30" t="s">
        <v>268</v>
      </c>
      <c r="D80" s="2" t="s">
        <v>61</v>
      </c>
      <c r="E80" s="31"/>
      <c r="F80" s="31"/>
      <c r="G80" s="32"/>
      <c r="H80" s="3">
        <v>0.05</v>
      </c>
      <c r="I80" s="3">
        <v>0.0</v>
      </c>
      <c r="J80" s="15">
        <v>2270.0</v>
      </c>
      <c r="K80" s="16">
        <v>510.0</v>
      </c>
      <c r="L80" s="16">
        <v>34.0</v>
      </c>
      <c r="M80" s="16">
        <v>24.0</v>
      </c>
      <c r="N80" s="16">
        <v>2.0</v>
      </c>
      <c r="O80" s="17">
        <f t="shared" si="12"/>
        <v>510</v>
      </c>
      <c r="P80" s="18">
        <v>43.8</v>
      </c>
      <c r="Q80" s="6">
        <f t="array" ref="Q80">XLOOKUP(K80/1000, '运费（邮政）'!$A$2:$A$21, '运费（邮政）'!$B$2:$B$21, "超出范围", 1)</f>
        <v>1780</v>
      </c>
      <c r="R80" s="18">
        <v>15.99</v>
      </c>
      <c r="S80" s="19">
        <f t="shared" si="2"/>
        <v>9.169163099</v>
      </c>
      <c r="T80" s="20">
        <f t="shared" si="3"/>
        <v>59.79</v>
      </c>
      <c r="U80" s="21">
        <f t="array" ref="U80">XLOOKUP(O80/1000, '运费（橙联）'!$A$2:$A$57, '运费（橙联）'!$B$2:$B$57, "超出范围", 1)</f>
        <v>2222</v>
      </c>
      <c r="V80" s="22">
        <f>(P80*'参数表'!$C$2*(1+'参数表'!$C$3))*$B$1+'参数表'!$C$4</f>
        <v>860.02116</v>
      </c>
      <c r="W80" s="3">
        <v>0.127</v>
      </c>
      <c r="X80" s="4">
        <v>0.0135</v>
      </c>
      <c r="Y80" s="23">
        <f t="shared" si="4"/>
        <v>673.471102</v>
      </c>
      <c r="Z80" s="24">
        <f t="shared" si="5"/>
        <v>0.1082820603</v>
      </c>
      <c r="AA80" s="25">
        <f t="shared" si="6"/>
        <v>0.2966833048</v>
      </c>
      <c r="AB80" s="23">
        <f t="shared" si="7"/>
        <v>1166.229903</v>
      </c>
      <c r="AC80" s="24">
        <f t="shared" si="8"/>
        <v>0.1373622118</v>
      </c>
      <c r="AD80" s="25">
        <f t="shared" si="9"/>
        <v>0.5137576665</v>
      </c>
      <c r="AE80" s="26">
        <f>P80*(1-I80)*(1+'参数表'!$C$6)*(W80+X80+H80)*1.1+0.4*1.1</f>
        <v>10.536119</v>
      </c>
      <c r="AF80" s="26">
        <f t="shared" si="10"/>
        <v>13.8868235</v>
      </c>
    </row>
    <row r="81">
      <c r="A81" s="44" t="s">
        <v>269</v>
      </c>
      <c r="C81" s="30" t="s">
        <v>270</v>
      </c>
      <c r="D81" s="2" t="s">
        <v>61</v>
      </c>
      <c r="E81" s="31"/>
      <c r="F81" s="31"/>
      <c r="G81" s="32"/>
      <c r="H81" s="3">
        <v>0.05</v>
      </c>
      <c r="I81" s="3">
        <v>0.0</v>
      </c>
      <c r="J81" s="15">
        <v>2370.0</v>
      </c>
      <c r="K81" s="16">
        <v>610.0</v>
      </c>
      <c r="L81" s="16">
        <v>34.0</v>
      </c>
      <c r="M81" s="16">
        <v>24.0</v>
      </c>
      <c r="N81" s="16">
        <v>2.0</v>
      </c>
      <c r="O81" s="17">
        <f t="shared" si="12"/>
        <v>610</v>
      </c>
      <c r="P81" s="18">
        <v>45.8</v>
      </c>
      <c r="Q81" s="6">
        <f t="array" ref="Q81">XLOOKUP(K81/1000, '运费（邮政）'!$A$2:$A$21, '运费（邮政）'!$B$2:$B$21, "超出范围", 1)</f>
        <v>1960</v>
      </c>
      <c r="R81" s="18">
        <v>15.99</v>
      </c>
      <c r="S81" s="19">
        <f t="shared" si="2"/>
        <v>8.802940563</v>
      </c>
      <c r="T81" s="20">
        <f t="shared" si="3"/>
        <v>61.79</v>
      </c>
      <c r="U81" s="21">
        <f t="array" ref="U81">XLOOKUP(O81/1000, '运费（橙联）'!$A$2:$A$57, '运费（橙联）'!$B$2:$B$57, "超出范围", 1)</f>
        <v>2321</v>
      </c>
      <c r="V81" s="22">
        <f>(P81*'参数表'!$C$2*(1+'参数表'!$C$3))*$B$1+'参数表'!$C$4</f>
        <v>889.01756</v>
      </c>
      <c r="W81" s="3">
        <v>0.127</v>
      </c>
      <c r="X81" s="4">
        <v>0.0135</v>
      </c>
      <c r="Y81" s="23">
        <f t="shared" si="4"/>
        <v>612.007682</v>
      </c>
      <c r="Z81" s="24">
        <f t="shared" si="5"/>
        <v>0.09410290947</v>
      </c>
      <c r="AA81" s="25">
        <f t="shared" si="6"/>
        <v>0.2582310895</v>
      </c>
      <c r="AB81" s="23">
        <f t="shared" si="7"/>
        <v>1156.770083</v>
      </c>
      <c r="AC81" s="24">
        <f t="shared" si="8"/>
        <v>0.1318379704</v>
      </c>
      <c r="AD81" s="25">
        <f t="shared" si="9"/>
        <v>0.4880886426</v>
      </c>
      <c r="AE81" s="26">
        <f>P81*(1-I81)*(1+'参数表'!$C$6)*(W81+X81+H81)*1.1+0.4*1.1</f>
        <v>10.997129</v>
      </c>
      <c r="AF81" s="26">
        <f t="shared" si="10"/>
        <v>14.3478335</v>
      </c>
    </row>
    <row r="82">
      <c r="A82" s="44" t="s">
        <v>271</v>
      </c>
      <c r="C82" s="30" t="s">
        <v>272</v>
      </c>
      <c r="D82" s="2" t="s">
        <v>61</v>
      </c>
      <c r="E82" s="14"/>
      <c r="F82" s="14"/>
      <c r="G82" s="34" t="s">
        <v>273</v>
      </c>
      <c r="H82" s="3">
        <v>0.05</v>
      </c>
      <c r="I82" s="3">
        <v>0.0</v>
      </c>
      <c r="J82" s="15">
        <v>1416.0</v>
      </c>
      <c r="K82" s="16">
        <v>410.0</v>
      </c>
      <c r="L82" s="16">
        <v>34.0</v>
      </c>
      <c r="M82" s="16">
        <v>24.0</v>
      </c>
      <c r="N82" s="16">
        <v>2.0</v>
      </c>
      <c r="O82" s="17">
        <f t="shared" si="12"/>
        <v>410</v>
      </c>
      <c r="P82" s="18">
        <v>32.8</v>
      </c>
      <c r="Q82" s="6">
        <f t="array" ref="Q82">XLOOKUP(K82/1000, '运费（邮政）'!$A$2:$A$21, '运费（邮政）'!$B$2:$B$21, "超出范围", 1)</f>
        <v>1600</v>
      </c>
      <c r="R82" s="18">
        <v>12.99</v>
      </c>
      <c r="S82" s="19">
        <f t="shared" si="2"/>
        <v>8.172823662</v>
      </c>
      <c r="T82" s="20">
        <f t="shared" si="3"/>
        <v>45.79</v>
      </c>
      <c r="U82" s="21">
        <f t="array" ref="U82">XLOOKUP(O82/1000, '运费（橙联）'!$A$2:$A$57, '运费（橙联）'!$B$2:$B$57, "超出范围", 1)</f>
        <v>2060</v>
      </c>
      <c r="V82" s="22">
        <f>(P82*'参数表'!$C$2*(1+'参数表'!$C$3))*$B$1+'参数表'!$C$4</f>
        <v>700.54096</v>
      </c>
      <c r="W82" s="3">
        <v>0.127</v>
      </c>
      <c r="X82" s="4">
        <v>0.0135</v>
      </c>
      <c r="Y82" s="23">
        <f t="shared" si="4"/>
        <v>505.519912</v>
      </c>
      <c r="Z82" s="24">
        <f t="shared" si="5"/>
        <v>0.1085365665</v>
      </c>
      <c r="AA82" s="25">
        <f t="shared" si="6"/>
        <v>0.3570055876</v>
      </c>
      <c r="AB82" s="23">
        <f t="shared" si="7"/>
        <v>803.027213</v>
      </c>
      <c r="AC82" s="24">
        <f t="shared" si="8"/>
        <v>0.1235012277</v>
      </c>
      <c r="AD82" s="25">
        <f t="shared" si="9"/>
        <v>0.5671096137</v>
      </c>
      <c r="AE82" s="26">
        <f>P82*(1-I82)*(1+'参数表'!$C$6)*(W82+X82+H82)*1.1+0.4*1.1</f>
        <v>8.000564</v>
      </c>
      <c r="AF82" s="26">
        <f t="shared" si="10"/>
        <v>10.7226185</v>
      </c>
    </row>
    <row r="83">
      <c r="A83" s="44" t="s">
        <v>274</v>
      </c>
      <c r="C83" s="30" t="s">
        <v>275</v>
      </c>
      <c r="D83" s="2" t="s">
        <v>61</v>
      </c>
      <c r="E83" s="14"/>
      <c r="F83" s="14"/>
      <c r="G83" s="34" t="s">
        <v>276</v>
      </c>
      <c r="H83" s="3">
        <v>0.05</v>
      </c>
      <c r="I83" s="3">
        <v>0.0</v>
      </c>
      <c r="J83" s="15">
        <v>2180.0</v>
      </c>
      <c r="K83" s="16">
        <v>480.0</v>
      </c>
      <c r="L83" s="16">
        <v>34.0</v>
      </c>
      <c r="M83" s="16">
        <v>24.0</v>
      </c>
      <c r="N83" s="16">
        <v>2.0</v>
      </c>
      <c r="O83" s="17">
        <f t="shared" si="12"/>
        <v>480</v>
      </c>
      <c r="P83" s="18">
        <v>39.8</v>
      </c>
      <c r="Q83" s="6">
        <f t="array" ref="Q83">XLOOKUP(K83/1000, '运费（邮政）'!$A$2:$A$21, '运费（邮政）'!$B$2:$B$21, "超出范围", 1)</f>
        <v>1600</v>
      </c>
      <c r="R83" s="18">
        <v>15.99</v>
      </c>
      <c r="S83" s="19">
        <f t="shared" si="2"/>
        <v>8.887523662</v>
      </c>
      <c r="T83" s="20">
        <f t="shared" si="3"/>
        <v>55.79</v>
      </c>
      <c r="U83" s="21">
        <f t="array" ref="U83">XLOOKUP(O83/1000, '运费（橙联）'!$A$2:$A$57, '运费（橙联）'!$B$2:$B$57, "超出范围", 1)</f>
        <v>2060</v>
      </c>
      <c r="V83" s="22">
        <f>(P83*'参数表'!$C$2*(1+'参数表'!$C$3))*$B$1+'参数表'!$C$4</f>
        <v>802.02836</v>
      </c>
      <c r="W83" s="3">
        <v>0.127</v>
      </c>
      <c r="X83" s="4">
        <v>0.0135</v>
      </c>
      <c r="Y83" s="23">
        <f t="shared" si="4"/>
        <v>506.397942</v>
      </c>
      <c r="Z83" s="24">
        <f t="shared" si="5"/>
        <v>0.08960258015</v>
      </c>
      <c r="AA83" s="25">
        <f t="shared" si="6"/>
        <v>0.2322926339</v>
      </c>
      <c r="AB83" s="23">
        <f t="shared" si="7"/>
        <v>1039.149543</v>
      </c>
      <c r="AC83" s="24">
        <f t="shared" si="8"/>
        <v>0.1311696456</v>
      </c>
      <c r="AD83" s="25">
        <f t="shared" si="9"/>
        <v>0.4766741023</v>
      </c>
      <c r="AE83" s="26">
        <f>P83*(1-I83)*(1+'参数表'!$C$6)*(W83+X83+H83)*1.1+0.4*1.1</f>
        <v>9.614099</v>
      </c>
      <c r="AF83" s="26">
        <f t="shared" si="10"/>
        <v>12.9648035</v>
      </c>
    </row>
    <row r="84">
      <c r="A84" s="44" t="s">
        <v>277</v>
      </c>
      <c r="C84" s="30" t="s">
        <v>278</v>
      </c>
      <c r="D84" s="2" t="s">
        <v>61</v>
      </c>
      <c r="E84" s="14"/>
      <c r="F84" s="14"/>
      <c r="G84" s="34" t="s">
        <v>69</v>
      </c>
      <c r="H84" s="3">
        <v>0.05</v>
      </c>
      <c r="I84" s="3">
        <v>0.0</v>
      </c>
      <c r="J84" s="15">
        <v>2180.0</v>
      </c>
      <c r="K84" s="16">
        <v>480.0</v>
      </c>
      <c r="L84" s="16">
        <v>34.0</v>
      </c>
      <c r="M84" s="16">
        <v>24.0</v>
      </c>
      <c r="N84" s="16">
        <v>2.0</v>
      </c>
      <c r="O84" s="17">
        <f t="shared" si="12"/>
        <v>480</v>
      </c>
      <c r="P84" s="18">
        <v>39.8</v>
      </c>
      <c r="Q84" s="6">
        <f t="array" ref="Q84">XLOOKUP(K84/1000, '运费（邮政）'!$A$2:$A$21, '运费（邮政）'!$B$2:$B$21, "超出范围", 1)</f>
        <v>1600</v>
      </c>
      <c r="R84" s="18">
        <v>15.99</v>
      </c>
      <c r="S84" s="19">
        <f t="shared" si="2"/>
        <v>8.887523662</v>
      </c>
      <c r="T84" s="20">
        <f t="shared" si="3"/>
        <v>55.79</v>
      </c>
      <c r="U84" s="21">
        <f t="array" ref="U84">XLOOKUP(O84/1000, '运费（橙联）'!$A$2:$A$57, '运费（橙联）'!$B$2:$B$57, "超出范围", 1)</f>
        <v>2060</v>
      </c>
      <c r="V84" s="22">
        <f>(P84*'参数表'!$C$2*(1+'参数表'!$C$3))*$B$1+'参数表'!$C$4</f>
        <v>802.02836</v>
      </c>
      <c r="W84" s="3">
        <v>0.127</v>
      </c>
      <c r="X84" s="4">
        <v>0.0135</v>
      </c>
      <c r="Y84" s="23">
        <f t="shared" si="4"/>
        <v>506.397942</v>
      </c>
      <c r="Z84" s="24">
        <f t="shared" si="5"/>
        <v>0.08960258015</v>
      </c>
      <c r="AA84" s="25">
        <f t="shared" si="6"/>
        <v>0.2322926339</v>
      </c>
      <c r="AB84" s="23">
        <f t="shared" si="7"/>
        <v>1039.149543</v>
      </c>
      <c r="AC84" s="24">
        <f t="shared" si="8"/>
        <v>0.1311696456</v>
      </c>
      <c r="AD84" s="25">
        <f t="shared" si="9"/>
        <v>0.4766741023</v>
      </c>
      <c r="AE84" s="26">
        <f>P84*(1-I84)*(1+'参数表'!$C$6)*(W84+X84+H84)*1.1+0.4*1.1</f>
        <v>9.614099</v>
      </c>
      <c r="AF84" s="26">
        <f t="shared" si="10"/>
        <v>12.9648035</v>
      </c>
    </row>
    <row r="85">
      <c r="A85" s="44" t="s">
        <v>279</v>
      </c>
      <c r="C85" s="30" t="s">
        <v>280</v>
      </c>
      <c r="D85" s="2" t="s">
        <v>61</v>
      </c>
      <c r="E85" s="14"/>
      <c r="F85" s="14"/>
      <c r="G85" s="34" t="s">
        <v>281</v>
      </c>
      <c r="H85" s="3">
        <v>0.05</v>
      </c>
      <c r="I85" s="3">
        <v>0.0</v>
      </c>
      <c r="J85" s="15">
        <v>1980.0</v>
      </c>
      <c r="K85" s="16">
        <v>480.0</v>
      </c>
      <c r="L85" s="16">
        <v>34.0</v>
      </c>
      <c r="M85" s="16">
        <v>24.0</v>
      </c>
      <c r="N85" s="16">
        <v>2.0</v>
      </c>
      <c r="O85" s="17">
        <f t="shared" si="12"/>
        <v>480</v>
      </c>
      <c r="P85" s="18">
        <v>39.8</v>
      </c>
      <c r="Q85" s="6">
        <f t="array" ref="Q85">XLOOKUP(K85/1000, '运费（邮政）'!$A$2:$A$21, '运费（邮政）'!$B$2:$B$21, "超出范围", 1)</f>
        <v>1600</v>
      </c>
      <c r="R85" s="18">
        <v>15.99</v>
      </c>
      <c r="S85" s="19">
        <f t="shared" si="2"/>
        <v>8.887523662</v>
      </c>
      <c r="T85" s="20">
        <f t="shared" si="3"/>
        <v>55.79</v>
      </c>
      <c r="U85" s="21">
        <f t="array" ref="U85">XLOOKUP(O85/1000, '运费（橙联）'!$A$2:$A$57, '运费（橙联）'!$B$2:$B$57, "超出范围", 1)</f>
        <v>2060</v>
      </c>
      <c r="V85" s="22">
        <f>(P85*'参数表'!$C$2*(1+'参数表'!$C$3))*$B$1+'参数表'!$C$4</f>
        <v>802.02836</v>
      </c>
      <c r="W85" s="3">
        <v>0.127</v>
      </c>
      <c r="X85" s="4">
        <v>0.0135</v>
      </c>
      <c r="Y85" s="23">
        <f t="shared" si="4"/>
        <v>706.397942</v>
      </c>
      <c r="Z85" s="24">
        <f t="shared" si="5"/>
        <v>0.1249907888</v>
      </c>
      <c r="AA85" s="25">
        <f t="shared" si="6"/>
        <v>0.3567666374</v>
      </c>
      <c r="AB85" s="23">
        <f t="shared" si="7"/>
        <v>1239.149543</v>
      </c>
      <c r="AC85" s="24">
        <f t="shared" si="8"/>
        <v>0.1564152219</v>
      </c>
      <c r="AD85" s="25">
        <f t="shared" si="9"/>
        <v>0.6258331025</v>
      </c>
      <c r="AE85" s="26">
        <f>P85*(1-I85)*(1+'参数表'!$C$6)*(W85+X85+H85)*1.1+0.4*1.1</f>
        <v>9.614099</v>
      </c>
      <c r="AF85" s="26">
        <f t="shared" si="10"/>
        <v>12.9648035</v>
      </c>
    </row>
    <row r="86">
      <c r="A86" s="52" t="s">
        <v>282</v>
      </c>
      <c r="C86" s="30" t="s">
        <v>283</v>
      </c>
      <c r="E86" s="14"/>
      <c r="F86" s="14"/>
      <c r="G86" s="34" t="s">
        <v>284</v>
      </c>
      <c r="H86" s="3">
        <v>0.05</v>
      </c>
      <c r="I86" s="3">
        <v>0.0</v>
      </c>
      <c r="J86" s="15">
        <v>3636.0</v>
      </c>
      <c r="K86" s="16">
        <v>2450.0</v>
      </c>
      <c r="L86" s="16">
        <v>34.0</v>
      </c>
      <c r="M86" s="16">
        <v>24.0</v>
      </c>
      <c r="N86" s="16">
        <v>2.0</v>
      </c>
      <c r="O86" s="17">
        <f t="shared" si="12"/>
        <v>2450</v>
      </c>
      <c r="P86" s="18">
        <v>54.8</v>
      </c>
      <c r="Q86" s="6" t="str">
        <f t="array" ref="Q86">XLOOKUP(K86/1000, '运费（邮政）'!$A$2:$A$21, '运费（邮政）'!$B$2:$B$21, "超出范围", 1)</f>
        <v>超出范围</v>
      </c>
      <c r="R86" s="18"/>
      <c r="S86" s="19" t="str">
        <f t="shared" si="2"/>
        <v>#VALUE!</v>
      </c>
      <c r="T86" s="20">
        <f t="shared" si="3"/>
        <v>54.8</v>
      </c>
      <c r="U86" s="21">
        <f t="array" ref="U86">XLOOKUP(O86/1000, '运费（橙联）'!$A$2:$A$57, '运费（橙联）'!$B$2:$B$57, "超出范围", 1)</f>
        <v>4736</v>
      </c>
      <c r="V86" s="22">
        <f>(P86*'参数表'!$C$2*(1+'参数表'!$C$3))*$B$1+'参数表'!$C$4</f>
        <v>1019.50136</v>
      </c>
      <c r="W86" s="3">
        <v>0.127</v>
      </c>
      <c r="X86" s="4">
        <v>0.0135</v>
      </c>
      <c r="Y86" s="23" t="str">
        <f t="shared" si="4"/>
        <v>#VALUE!</v>
      </c>
      <c r="Z86" s="24" t="str">
        <f t="shared" si="5"/>
        <v>#VALUE!</v>
      </c>
      <c r="AA86" s="25" t="str">
        <f t="shared" si="6"/>
        <v>#VALUE!</v>
      </c>
      <c r="AB86" s="23">
        <f t="shared" si="7"/>
        <v>-3466.079068</v>
      </c>
      <c r="AC86" s="24">
        <f t="shared" si="8"/>
        <v>-0.4454198453</v>
      </c>
      <c r="AD86" s="25">
        <f t="shared" si="9"/>
        <v>-0.9532670704</v>
      </c>
      <c r="AE86" s="26">
        <f>P86*(1-I86)*(1+'参数表'!$C$6)*(W86+X86+H86)*1.1+0.4*1.1</f>
        <v>13.071674</v>
      </c>
      <c r="AF86" s="26">
        <f t="shared" si="10"/>
        <v>13.071674</v>
      </c>
    </row>
    <row r="87">
      <c r="A87" s="44" t="s">
        <v>285</v>
      </c>
      <c r="C87" s="30" t="s">
        <v>286</v>
      </c>
      <c r="D87" s="2" t="s">
        <v>61</v>
      </c>
      <c r="E87" s="14"/>
      <c r="F87" s="14"/>
      <c r="G87" s="34" t="s">
        <v>287</v>
      </c>
      <c r="H87" s="3">
        <v>0.05</v>
      </c>
      <c r="I87" s="3">
        <v>0.0</v>
      </c>
      <c r="J87" s="15">
        <v>1880.0</v>
      </c>
      <c r="K87" s="16">
        <v>690.0</v>
      </c>
      <c r="L87" s="16">
        <v>34.0</v>
      </c>
      <c r="M87" s="16">
        <v>24.0</v>
      </c>
      <c r="N87" s="16">
        <v>2.0</v>
      </c>
      <c r="O87" s="17">
        <f t="shared" si="12"/>
        <v>690</v>
      </c>
      <c r="P87" s="18">
        <v>39.8</v>
      </c>
      <c r="Q87" s="6">
        <f t="array" ref="Q87">XLOOKUP(K87/1000, '运费（邮政）'!$A$2:$A$21, '运费（邮政）'!$B$2:$B$21, "超出范围", 1)</f>
        <v>1960</v>
      </c>
      <c r="R87" s="18">
        <v>15.99</v>
      </c>
      <c r="S87" s="19">
        <f t="shared" si="2"/>
        <v>8.190340563</v>
      </c>
      <c r="T87" s="20">
        <f t="shared" si="3"/>
        <v>55.79</v>
      </c>
      <c r="U87" s="21">
        <f t="array" ref="U87">XLOOKUP(O87/1000, '运费（橙联）'!$A$2:$A$57, '运费（橙联）'!$B$2:$B$57, "超出范围", 1)</f>
        <v>2321</v>
      </c>
      <c r="V87" s="22">
        <f>(P87*'参数表'!$C$2*(1+'参数表'!$C$3))*$B$1+'参数表'!$C$4</f>
        <v>802.02836</v>
      </c>
      <c r="W87" s="3">
        <v>0.127</v>
      </c>
      <c r="X87" s="4">
        <v>0.0135</v>
      </c>
      <c r="Y87" s="23">
        <f t="shared" si="4"/>
        <v>446.397942</v>
      </c>
      <c r="Z87" s="24">
        <f t="shared" si="5"/>
        <v>0.07898611756</v>
      </c>
      <c r="AA87" s="25">
        <f t="shared" si="6"/>
        <v>0.2374457138</v>
      </c>
      <c r="AB87" s="23">
        <f t="shared" si="7"/>
        <v>1078.149543</v>
      </c>
      <c r="AC87" s="24">
        <f t="shared" si="8"/>
        <v>0.136092533</v>
      </c>
      <c r="AD87" s="25">
        <f t="shared" si="9"/>
        <v>0.5734837995</v>
      </c>
      <c r="AE87" s="26">
        <f>P87*(1-I87)*(1+'参数表'!$C$6)*(W87+X87+H87)*1.1+0.4*1.1</f>
        <v>9.614099</v>
      </c>
      <c r="AF87" s="26">
        <f t="shared" si="10"/>
        <v>12.9648035</v>
      </c>
    </row>
    <row r="88">
      <c r="A88" s="44" t="s">
        <v>288</v>
      </c>
      <c r="C88" s="30" t="s">
        <v>289</v>
      </c>
      <c r="D88" s="2" t="s">
        <v>61</v>
      </c>
      <c r="E88" s="14"/>
      <c r="F88" s="14"/>
      <c r="G88" s="34" t="s">
        <v>290</v>
      </c>
      <c r="H88" s="3">
        <v>0.05</v>
      </c>
      <c r="I88" s="3">
        <v>0.0</v>
      </c>
      <c r="J88" s="15">
        <v>1155.0</v>
      </c>
      <c r="K88" s="16">
        <v>460.0</v>
      </c>
      <c r="L88" s="16">
        <v>34.0</v>
      </c>
      <c r="M88" s="16">
        <v>24.0</v>
      </c>
      <c r="N88" s="16">
        <v>2.0</v>
      </c>
      <c r="O88" s="17">
        <f t="shared" si="12"/>
        <v>460</v>
      </c>
      <c r="P88" s="18">
        <v>28.8</v>
      </c>
      <c r="Q88" s="6">
        <f t="array" ref="Q88">XLOOKUP(K88/1000, '运费（邮政）'!$A$2:$A$21, '运费（邮政）'!$B$2:$B$21, "超出范围", 1)</f>
        <v>1600</v>
      </c>
      <c r="R88" s="18">
        <v>12.99</v>
      </c>
      <c r="S88" s="19">
        <f t="shared" si="2"/>
        <v>7.764423662</v>
      </c>
      <c r="T88" s="20">
        <f t="shared" si="3"/>
        <v>41.79</v>
      </c>
      <c r="U88" s="21">
        <f t="array" ref="U88">XLOOKUP(O88/1000, '运费（橙联）'!$A$2:$A$57, '运费（橙联）'!$B$2:$B$57, "超出范围", 1)</f>
        <v>2060</v>
      </c>
      <c r="V88" s="22">
        <f>(P88*'参数表'!$C$2*(1+'参数表'!$C$3))*$B$1+'参数表'!$C$4</f>
        <v>642.54816</v>
      </c>
      <c r="W88" s="3">
        <v>0.127</v>
      </c>
      <c r="X88" s="4">
        <v>0.0135</v>
      </c>
      <c r="Y88" s="23">
        <f t="shared" si="4"/>
        <v>329.446752</v>
      </c>
      <c r="Z88" s="24">
        <f t="shared" si="5"/>
        <v>0.08055720657</v>
      </c>
      <c r="AA88" s="25">
        <f t="shared" si="6"/>
        <v>0.2852352831</v>
      </c>
      <c r="AB88" s="23">
        <f t="shared" si="7"/>
        <v>684.946853</v>
      </c>
      <c r="AC88" s="24">
        <f t="shared" si="8"/>
        <v>0.1154240102</v>
      </c>
      <c r="AD88" s="25">
        <f t="shared" si="9"/>
        <v>0.5930275784</v>
      </c>
      <c r="AE88" s="26">
        <f>P88*(1-I88)*(1+'参数表'!$C$6)*(W88+X88+H88)*1.1+0.4*1.1</f>
        <v>7.078544</v>
      </c>
      <c r="AF88" s="26">
        <f t="shared" si="10"/>
        <v>9.8005985</v>
      </c>
    </row>
    <row r="89">
      <c r="A89" s="44" t="s">
        <v>291</v>
      </c>
      <c r="C89" s="30" t="s">
        <v>292</v>
      </c>
      <c r="D89" s="2" t="s">
        <v>61</v>
      </c>
      <c r="E89" s="14"/>
      <c r="F89" s="14"/>
      <c r="G89" s="34" t="s">
        <v>293</v>
      </c>
      <c r="H89" s="3">
        <v>0.05</v>
      </c>
      <c r="I89" s="3">
        <v>0.0</v>
      </c>
      <c r="J89" s="15">
        <v>1341.0</v>
      </c>
      <c r="K89" s="16">
        <v>210.0</v>
      </c>
      <c r="L89" s="16">
        <v>34.0</v>
      </c>
      <c r="M89" s="16">
        <v>24.0</v>
      </c>
      <c r="N89" s="16">
        <v>2.0</v>
      </c>
      <c r="O89" s="17">
        <f t="shared" si="12"/>
        <v>210</v>
      </c>
      <c r="P89" s="18">
        <v>27.8</v>
      </c>
      <c r="Q89" s="6">
        <f t="array" ref="Q89">XLOOKUP(K89/1000, '运费（邮政）'!$A$2:$A$21, '运费（邮政）'!$B$2:$B$21, "超出范围", 1)</f>
        <v>1240</v>
      </c>
      <c r="R89" s="18">
        <v>12.99</v>
      </c>
      <c r="S89" s="19">
        <f t="shared" si="2"/>
        <v>6.824295493</v>
      </c>
      <c r="T89" s="20">
        <f t="shared" si="3"/>
        <v>40.79</v>
      </c>
      <c r="U89" s="21">
        <f t="array" ref="U89">XLOOKUP(O89/1000, '运费（橙联）'!$A$2:$A$57, '运费（橙联）'!$B$2:$B$57, "超出范围", 1)</f>
        <v>1581</v>
      </c>
      <c r="V89" s="22">
        <f>(P89*'参数表'!$C$2*(1+'参数表'!$C$3))*$B$1+'参数表'!$C$4</f>
        <v>628.04996</v>
      </c>
      <c r="W89" s="3">
        <v>0.127</v>
      </c>
      <c r="X89" s="4">
        <v>0.0135</v>
      </c>
      <c r="Y89" s="23">
        <f t="shared" si="4"/>
        <v>394.178462</v>
      </c>
      <c r="Z89" s="24">
        <f t="shared" si="5"/>
        <v>0.09985268568</v>
      </c>
      <c r="AA89" s="25">
        <f t="shared" si="6"/>
        <v>0.2939436704</v>
      </c>
      <c r="AB89" s="23">
        <f t="shared" si="7"/>
        <v>883.176763</v>
      </c>
      <c r="AC89" s="24">
        <f t="shared" si="8"/>
        <v>0.1524774373</v>
      </c>
      <c r="AD89" s="25">
        <f t="shared" si="9"/>
        <v>0.6585956473</v>
      </c>
      <c r="AE89" s="26">
        <f>P89*(1-I89)*(1+'参数表'!$C$6)*(W89+X89+H89)*1.1+0.4*1.1</f>
        <v>6.848039</v>
      </c>
      <c r="AF89" s="26">
        <f t="shared" si="10"/>
        <v>9.5700935</v>
      </c>
    </row>
    <row r="90">
      <c r="A90" s="44" t="s">
        <v>294</v>
      </c>
      <c r="C90" s="30" t="s">
        <v>295</v>
      </c>
      <c r="D90" s="2" t="s">
        <v>61</v>
      </c>
      <c r="E90" s="14"/>
      <c r="F90" s="14"/>
      <c r="G90" s="13" t="s">
        <v>296</v>
      </c>
      <c r="H90" s="3">
        <v>0.05</v>
      </c>
      <c r="I90" s="3">
        <v>0.0</v>
      </c>
      <c r="J90" s="15">
        <v>20641.0</v>
      </c>
      <c r="K90" s="16"/>
      <c r="L90" s="16">
        <v>34.0</v>
      </c>
      <c r="M90" s="16">
        <v>24.0</v>
      </c>
      <c r="N90" s="16">
        <v>2.0</v>
      </c>
      <c r="O90" s="17">
        <f t="shared" si="12"/>
        <v>204</v>
      </c>
      <c r="P90" s="18"/>
      <c r="Q90" s="6">
        <f t="array" ref="Q90">XLOOKUP(K90/1000, '运费（邮政）'!$A$2:$A$21, '运费（邮政）'!$B$2:$B$21, "超出范围", 1)</f>
        <v>880</v>
      </c>
      <c r="R90" s="18"/>
      <c r="S90" s="19">
        <f t="shared" si="2"/>
        <v>6.521126761</v>
      </c>
      <c r="T90" s="20">
        <f t="shared" si="3"/>
        <v>0</v>
      </c>
      <c r="U90" s="21">
        <f t="array" ref="U90">XLOOKUP(O90/1000, '运费（橙联）'!$A$2:$A$57, '运费（橙联）'!$B$2:$B$57, "超出范围", 1)</f>
        <v>1581</v>
      </c>
      <c r="V90" s="22">
        <f>(P90*'参数表'!$C$2*(1+'参数表'!$C$3))*$B$1+'参数表'!$C$4</f>
        <v>225</v>
      </c>
      <c r="W90" s="3">
        <v>0.127</v>
      </c>
      <c r="X90" s="4">
        <v>0.0135</v>
      </c>
      <c r="Y90" s="23">
        <f t="shared" si="4"/>
        <v>-21583.48</v>
      </c>
      <c r="Z90" s="24" t="str">
        <f t="shared" si="5"/>
        <v>#DIV/0!</v>
      </c>
      <c r="AA90" s="25">
        <f t="shared" si="6"/>
        <v>-1.045660578</v>
      </c>
      <c r="AB90" s="23">
        <f t="shared" si="7"/>
        <v>-22509.48</v>
      </c>
      <c r="AC90" s="24" t="str">
        <f t="shared" si="8"/>
        <v>#DIV/0!</v>
      </c>
      <c r="AD90" s="25">
        <f t="shared" si="9"/>
        <v>-1.090522746</v>
      </c>
      <c r="AE90" s="26">
        <f>P90*(1-I90)*(1+'参数表'!$C$6)*(W90+X90+H90)*1.1+0.4*1.1</f>
        <v>0.44</v>
      </c>
      <c r="AF90" s="26">
        <f t="shared" si="10"/>
        <v>0.44</v>
      </c>
    </row>
    <row r="91">
      <c r="A91" s="44" t="s">
        <v>297</v>
      </c>
      <c r="C91" s="30" t="s">
        <v>298</v>
      </c>
      <c r="D91" s="2" t="s">
        <v>61</v>
      </c>
      <c r="E91" s="14"/>
      <c r="F91" s="14"/>
      <c r="G91" s="32"/>
      <c r="H91" s="3">
        <v>0.05</v>
      </c>
      <c r="I91" s="3">
        <v>0.0</v>
      </c>
      <c r="J91" s="15">
        <v>2160.0</v>
      </c>
      <c r="K91" s="16">
        <v>310.0</v>
      </c>
      <c r="L91" s="16">
        <v>34.0</v>
      </c>
      <c r="M91" s="16">
        <v>24.0</v>
      </c>
      <c r="N91" s="16">
        <v>2.0</v>
      </c>
      <c r="O91" s="17">
        <f t="shared" si="12"/>
        <v>310</v>
      </c>
      <c r="P91" s="18">
        <v>39.8</v>
      </c>
      <c r="Q91" s="6">
        <f t="array" ref="Q91">XLOOKUP(K91/1000, '运费（邮政）'!$A$2:$A$21, '运费（邮政）'!$B$2:$B$21, "超出范围", 1)</f>
        <v>1420</v>
      </c>
      <c r="R91" s="18">
        <v>12.99</v>
      </c>
      <c r="S91" s="19">
        <f t="shared" si="2"/>
        <v>8.169213803</v>
      </c>
      <c r="T91" s="20">
        <f t="shared" si="3"/>
        <v>52.79</v>
      </c>
      <c r="U91" s="21">
        <f t="array" ref="U91">XLOOKUP(O91/1000, '运费（橙联）'!$A$2:$A$57, '运费（橙联）'!$B$2:$B$57, "超出范围", 1)</f>
        <v>1778</v>
      </c>
      <c r="V91" s="22">
        <f>(P91*'参数表'!$C$2*(1+'参数表'!$C$3))*$B$1+'参数表'!$C$4</f>
        <v>802.02836</v>
      </c>
      <c r="W91" s="3">
        <v>0.127</v>
      </c>
      <c r="X91" s="4">
        <v>0.0135</v>
      </c>
      <c r="Y91" s="23">
        <f t="shared" si="4"/>
        <v>706.397942</v>
      </c>
      <c r="Z91" s="24">
        <f t="shared" si="5"/>
        <v>0.1249907888</v>
      </c>
      <c r="AA91" s="25">
        <f t="shared" si="6"/>
        <v>0.3270360843</v>
      </c>
      <c r="AB91" s="23">
        <f t="shared" si="7"/>
        <v>1004.417843</v>
      </c>
      <c r="AC91" s="24">
        <f t="shared" si="8"/>
        <v>0.133990625</v>
      </c>
      <c r="AD91" s="25">
        <f t="shared" si="9"/>
        <v>0.4650082606</v>
      </c>
      <c r="AE91" s="26">
        <f>P91*(1-I91)*(1+'参数表'!$C$6)*(W91+X91+H91)*1.1+0.4*1.1</f>
        <v>9.614099</v>
      </c>
      <c r="AF91" s="26">
        <f t="shared" si="10"/>
        <v>12.3361535</v>
      </c>
    </row>
    <row r="92">
      <c r="A92" s="44" t="s">
        <v>299</v>
      </c>
      <c r="C92" s="30" t="s">
        <v>300</v>
      </c>
      <c r="D92" s="2" t="s">
        <v>61</v>
      </c>
      <c r="E92" s="14"/>
      <c r="F92" s="14"/>
      <c r="G92" s="13" t="s">
        <v>301</v>
      </c>
      <c r="H92" s="3">
        <v>0.05</v>
      </c>
      <c r="I92" s="3">
        <v>0.0</v>
      </c>
      <c r="J92" s="15">
        <v>2255.0</v>
      </c>
      <c r="K92" s="16">
        <v>610.0</v>
      </c>
      <c r="L92" s="16">
        <v>34.0</v>
      </c>
      <c r="M92" s="16">
        <v>24.0</v>
      </c>
      <c r="N92" s="16">
        <v>2.0</v>
      </c>
      <c r="O92" s="17">
        <f t="shared" si="12"/>
        <v>610</v>
      </c>
      <c r="P92" s="18">
        <v>47.8</v>
      </c>
      <c r="Q92" s="6">
        <f t="array" ref="Q92">XLOOKUP(K92/1000, '运费（邮政）'!$A$2:$A$21, '运费（邮政）'!$B$2:$B$21, "超出范围", 1)</f>
        <v>1960</v>
      </c>
      <c r="R92" s="18">
        <v>15.99</v>
      </c>
      <c r="S92" s="19">
        <f t="shared" si="2"/>
        <v>9.007140563</v>
      </c>
      <c r="T92" s="20">
        <f t="shared" si="3"/>
        <v>63.79</v>
      </c>
      <c r="U92" s="21">
        <f t="array" ref="U92">XLOOKUP(O92/1000, '运费（橙联）'!$A$2:$A$57, '运费（橙联）'!$B$2:$B$57, "超出范围", 1)</f>
        <v>2321</v>
      </c>
      <c r="V92" s="22">
        <f>(P92*'参数表'!$C$2*(1+'参数表'!$C$3))*$B$1+'参数表'!$C$4</f>
        <v>918.01396</v>
      </c>
      <c r="W92" s="3">
        <v>0.127</v>
      </c>
      <c r="X92" s="4">
        <v>0.0135</v>
      </c>
      <c r="Y92" s="23">
        <f t="shared" si="4"/>
        <v>945.544262</v>
      </c>
      <c r="Z92" s="24">
        <f t="shared" si="5"/>
        <v>0.1393046529</v>
      </c>
      <c r="AA92" s="25">
        <f t="shared" si="6"/>
        <v>0.419310094</v>
      </c>
      <c r="AB92" s="23">
        <f t="shared" si="7"/>
        <v>1461.310263</v>
      </c>
      <c r="AC92" s="24">
        <f t="shared" si="8"/>
        <v>0.1613249309</v>
      </c>
      <c r="AD92" s="25">
        <f t="shared" si="9"/>
        <v>0.6480311588</v>
      </c>
      <c r="AE92" s="26">
        <f>P92*(1-I92)*(1+'参数表'!$C$6)*(W92+X92+H92)*1.1+0.4*1.1</f>
        <v>11.458139</v>
      </c>
      <c r="AF92" s="26">
        <f t="shared" si="10"/>
        <v>14.8088435</v>
      </c>
    </row>
    <row r="93">
      <c r="A93" s="44" t="s">
        <v>302</v>
      </c>
      <c r="C93" s="30" t="s">
        <v>303</v>
      </c>
      <c r="D93" s="2" t="s">
        <v>61</v>
      </c>
      <c r="E93" s="14"/>
      <c r="F93" s="14"/>
      <c r="G93" s="50" t="s">
        <v>304</v>
      </c>
      <c r="H93" s="3">
        <v>0.05</v>
      </c>
      <c r="I93" s="3">
        <v>0.0</v>
      </c>
      <c r="J93" s="15">
        <v>3850.0</v>
      </c>
      <c r="K93" s="16">
        <v>180.0</v>
      </c>
      <c r="L93" s="16">
        <v>34.0</v>
      </c>
      <c r="M93" s="16">
        <v>24.0</v>
      </c>
      <c r="N93" s="16">
        <v>2.0</v>
      </c>
      <c r="O93" s="17">
        <f t="shared" si="12"/>
        <v>204</v>
      </c>
      <c r="P93" s="18">
        <v>56.8</v>
      </c>
      <c r="Q93" s="6">
        <f t="array" ref="Q93">XLOOKUP(K93/1000, '运费（邮政）'!$A$2:$A$21, '运费（邮政）'!$B$2:$B$21, "超出范围", 1)</f>
        <v>1060</v>
      </c>
      <c r="R93" s="18">
        <v>18.99</v>
      </c>
      <c r="S93" s="19">
        <f t="shared" si="2"/>
        <v>11.05280113</v>
      </c>
      <c r="T93" s="20">
        <f t="shared" si="3"/>
        <v>75.79</v>
      </c>
      <c r="U93" s="21">
        <f t="array" ref="U93">XLOOKUP(O93/1000, '运费（橙联）'!$A$2:$A$57, '运费（橙联）'!$B$2:$B$57, "超出范围", 1)</f>
        <v>1581</v>
      </c>
      <c r="V93" s="22">
        <f>(P93*'参数表'!$C$2*(1+'参数表'!$C$3))*$B$1+'参数表'!$C$4</f>
        <v>1048.49776</v>
      </c>
      <c r="W93" s="3">
        <v>0.153</v>
      </c>
      <c r="X93" s="4">
        <v>0.0135</v>
      </c>
      <c r="Y93" s="23">
        <f t="shared" si="4"/>
        <v>980.215096</v>
      </c>
      <c r="Z93" s="24">
        <f t="shared" si="5"/>
        <v>0.1215303382</v>
      </c>
      <c r="AA93" s="25">
        <f t="shared" si="6"/>
        <v>0.2546013236</v>
      </c>
      <c r="AB93" s="23">
        <f t="shared" si="7"/>
        <v>1465.106809</v>
      </c>
      <c r="AC93" s="24">
        <f t="shared" si="8"/>
        <v>0.1361347616</v>
      </c>
      <c r="AD93" s="25">
        <f t="shared" si="9"/>
        <v>0.3805472231</v>
      </c>
      <c r="AE93" s="26">
        <f>P93*(1-I93)*(1+'参数表'!$C$6)*(W93+X93+H93)*1.1+0.4*1.1</f>
        <v>15.319612</v>
      </c>
      <c r="AF93" s="26">
        <f t="shared" si="10"/>
        <v>19.8420805</v>
      </c>
    </row>
    <row r="94">
      <c r="A94" s="44" t="s">
        <v>305</v>
      </c>
      <c r="C94" s="30" t="s">
        <v>306</v>
      </c>
      <c r="D94" s="2" t="s">
        <v>61</v>
      </c>
      <c r="E94" s="14"/>
      <c r="F94" s="14"/>
      <c r="G94" s="48" t="s">
        <v>307</v>
      </c>
      <c r="H94" s="3">
        <v>0.05</v>
      </c>
      <c r="I94" s="3">
        <v>0.0</v>
      </c>
      <c r="J94" s="15">
        <v>4400.0</v>
      </c>
      <c r="K94" s="16">
        <v>150.0</v>
      </c>
      <c r="L94" s="16">
        <v>34.0</v>
      </c>
      <c r="M94" s="16">
        <v>24.0</v>
      </c>
      <c r="N94" s="16">
        <v>2.0</v>
      </c>
      <c r="O94" s="17">
        <f t="shared" si="12"/>
        <v>204</v>
      </c>
      <c r="P94" s="18">
        <v>63.8</v>
      </c>
      <c r="Q94" s="6">
        <f t="array" ref="Q94">XLOOKUP(K94/1000, '运费（邮政）'!$A$2:$A$21, '运费（邮政）'!$B$2:$B$21, "超出范围", 1)</f>
        <v>1060</v>
      </c>
      <c r="R94" s="18">
        <v>21.99</v>
      </c>
      <c r="S94" s="19">
        <f t="shared" si="2"/>
        <v>11.76750113</v>
      </c>
      <c r="T94" s="20">
        <f t="shared" si="3"/>
        <v>85.79</v>
      </c>
      <c r="U94" s="21">
        <f t="array" ref="U94">XLOOKUP(O94/1000, '运费（橙联）'!$A$2:$A$57, '运费（橙联）'!$B$2:$B$57, "超出范围", 1)</f>
        <v>1581</v>
      </c>
      <c r="V94" s="22">
        <f>(P94*'参数表'!$C$2*(1+'参数表'!$C$3))*$B$1+'参数表'!$C$4</f>
        <v>1149.98516</v>
      </c>
      <c r="W94" s="3">
        <v>0.153</v>
      </c>
      <c r="X94" s="4">
        <v>0.0135</v>
      </c>
      <c r="Y94" s="23">
        <f t="shared" si="4"/>
        <v>1163.821886</v>
      </c>
      <c r="Z94" s="24">
        <f t="shared" si="5"/>
        <v>0.1284628335</v>
      </c>
      <c r="AA94" s="25">
        <f t="shared" si="6"/>
        <v>0.2645049741</v>
      </c>
      <c r="AB94" s="23">
        <f t="shared" si="7"/>
        <v>1871.774299</v>
      </c>
      <c r="AC94" s="24">
        <f t="shared" si="8"/>
        <v>0.1536485505</v>
      </c>
      <c r="AD94" s="25">
        <f t="shared" si="9"/>
        <v>0.4254032498</v>
      </c>
      <c r="AE94" s="26">
        <f>P94*(1-I94)*(1+'参数表'!$C$6)*(W94+X94+H94)*1.1+0.4*1.1</f>
        <v>17.153367</v>
      </c>
      <c r="AF94" s="26">
        <f t="shared" si="10"/>
        <v>22.3902855</v>
      </c>
    </row>
    <row r="95">
      <c r="A95" s="44" t="s">
        <v>308</v>
      </c>
      <c r="C95" s="30" t="s">
        <v>309</v>
      </c>
      <c r="D95" s="2" t="s">
        <v>61</v>
      </c>
      <c r="E95" s="14"/>
      <c r="F95" s="14"/>
      <c r="G95" s="48" t="s">
        <v>310</v>
      </c>
      <c r="H95" s="3">
        <v>0.05</v>
      </c>
      <c r="I95" s="3">
        <v>0.0</v>
      </c>
      <c r="J95" s="15">
        <v>3850.0</v>
      </c>
      <c r="K95" s="16">
        <v>150.0</v>
      </c>
      <c r="L95" s="16">
        <v>34.0</v>
      </c>
      <c r="M95" s="16">
        <v>24.0</v>
      </c>
      <c r="N95" s="16">
        <v>2.0</v>
      </c>
      <c r="O95" s="17">
        <f t="shared" si="12"/>
        <v>204</v>
      </c>
      <c r="P95" s="18">
        <v>56.8</v>
      </c>
      <c r="Q95" s="6">
        <f t="array" ref="Q95">XLOOKUP(K95/1000, '运费（邮政）'!$A$2:$A$21, '运费（邮政）'!$B$2:$B$21, "超出范围", 1)</f>
        <v>1060</v>
      </c>
      <c r="R95" s="18">
        <v>18.99</v>
      </c>
      <c r="S95" s="19">
        <f t="shared" si="2"/>
        <v>11.05280113</v>
      </c>
      <c r="T95" s="20">
        <f t="shared" si="3"/>
        <v>75.79</v>
      </c>
      <c r="U95" s="21">
        <f t="array" ref="U95">XLOOKUP(O95/1000, '运费（橙联）'!$A$2:$A$57, '运费（橙联）'!$B$2:$B$57, "超出范围", 1)</f>
        <v>1581</v>
      </c>
      <c r="V95" s="22">
        <f>(P95*'参数表'!$C$2*(1+'参数表'!$C$3))*$B$1+'参数表'!$C$4</f>
        <v>1048.49776</v>
      </c>
      <c r="W95" s="3">
        <v>0.153</v>
      </c>
      <c r="X95" s="4">
        <v>0.0135</v>
      </c>
      <c r="Y95" s="23">
        <f t="shared" si="4"/>
        <v>980.215096</v>
      </c>
      <c r="Z95" s="24">
        <f t="shared" si="5"/>
        <v>0.1215303382</v>
      </c>
      <c r="AA95" s="25">
        <f t="shared" si="6"/>
        <v>0.2546013236</v>
      </c>
      <c r="AB95" s="23">
        <f t="shared" si="7"/>
        <v>1465.106809</v>
      </c>
      <c r="AC95" s="24">
        <f t="shared" si="8"/>
        <v>0.1361347616</v>
      </c>
      <c r="AD95" s="25">
        <f t="shared" si="9"/>
        <v>0.3805472231</v>
      </c>
      <c r="AE95" s="26">
        <f>P95*(1-I95)*(1+'参数表'!$C$6)*(W95+X95+H95)*1.1+0.4*1.1</f>
        <v>15.319612</v>
      </c>
      <c r="AF95" s="26">
        <f t="shared" si="10"/>
        <v>19.8420805</v>
      </c>
    </row>
    <row r="96">
      <c r="A96" s="44" t="s">
        <v>311</v>
      </c>
      <c r="C96" s="30" t="s">
        <v>312</v>
      </c>
      <c r="D96" s="2" t="s">
        <v>61</v>
      </c>
      <c r="E96" s="14"/>
      <c r="F96" s="14"/>
      <c r="G96" s="48" t="s">
        <v>313</v>
      </c>
      <c r="H96" s="3">
        <v>0.05</v>
      </c>
      <c r="I96" s="3">
        <v>0.0</v>
      </c>
      <c r="J96" s="15">
        <v>2200.0</v>
      </c>
      <c r="K96" s="16">
        <v>150.0</v>
      </c>
      <c r="L96" s="16">
        <v>34.0</v>
      </c>
      <c r="M96" s="16">
        <v>24.0</v>
      </c>
      <c r="N96" s="16">
        <v>2.0</v>
      </c>
      <c r="O96" s="17">
        <f t="shared" si="12"/>
        <v>204</v>
      </c>
      <c r="P96" s="18">
        <v>37.8</v>
      </c>
      <c r="Q96" s="6">
        <f t="array" ref="Q96">XLOOKUP(K96/1000, '运费（邮政）'!$A$2:$A$21, '运费（邮政）'!$B$2:$B$21, "超出范围", 1)</f>
        <v>1060</v>
      </c>
      <c r="R96" s="18">
        <v>15.99</v>
      </c>
      <c r="S96" s="19">
        <f t="shared" si="2"/>
        <v>9.112901127</v>
      </c>
      <c r="T96" s="20">
        <f t="shared" si="3"/>
        <v>53.79</v>
      </c>
      <c r="U96" s="21">
        <f t="array" ref="U96">XLOOKUP(O96/1000, '运费（橙联）'!$A$2:$A$57, '运费（橙联）'!$B$2:$B$57, "超出范围", 1)</f>
        <v>1581</v>
      </c>
      <c r="V96" s="22">
        <f>(P96*'参数表'!$C$2*(1+'参数表'!$C$3))*$B$1+'参数表'!$C$4</f>
        <v>773.03196</v>
      </c>
      <c r="W96" s="3">
        <v>0.153</v>
      </c>
      <c r="X96" s="4">
        <v>0.0135</v>
      </c>
      <c r="Y96" s="23">
        <f t="shared" si="4"/>
        <v>638.996666</v>
      </c>
      <c r="Z96" s="24">
        <f t="shared" si="5"/>
        <v>0.1190469979</v>
      </c>
      <c r="AA96" s="25">
        <f t="shared" si="6"/>
        <v>0.29045303</v>
      </c>
      <c r="AB96" s="23">
        <f t="shared" si="7"/>
        <v>1074.806079</v>
      </c>
      <c r="AC96" s="24">
        <f t="shared" si="8"/>
        <v>0.1407149451</v>
      </c>
      <c r="AD96" s="25">
        <f t="shared" si="9"/>
        <v>0.4885482177</v>
      </c>
      <c r="AE96" s="26">
        <f>P96*(1-I96)*(1+'参数表'!$C$6)*(W96+X96+H96)*1.1+0.4*1.1</f>
        <v>10.342277</v>
      </c>
      <c r="AF96" s="26">
        <f t="shared" si="10"/>
        <v>14.1502955</v>
      </c>
    </row>
    <row r="97">
      <c r="A97" s="44" t="s">
        <v>314</v>
      </c>
      <c r="B97" s="44" t="s">
        <v>315</v>
      </c>
      <c r="C97" s="30" t="s">
        <v>316</v>
      </c>
      <c r="D97" s="2" t="s">
        <v>61</v>
      </c>
      <c r="E97" s="14"/>
      <c r="F97" s="14"/>
      <c r="G97" s="34" t="s">
        <v>317</v>
      </c>
      <c r="H97" s="3">
        <v>0.05</v>
      </c>
      <c r="I97" s="3">
        <v>0.0</v>
      </c>
      <c r="J97" s="15">
        <v>2890.0</v>
      </c>
      <c r="K97" s="16">
        <v>380.0</v>
      </c>
      <c r="L97" s="16">
        <v>34.0</v>
      </c>
      <c r="M97" s="16">
        <v>24.0</v>
      </c>
      <c r="N97" s="16">
        <v>2.0</v>
      </c>
      <c r="O97" s="17">
        <f t="shared" si="12"/>
        <v>380</v>
      </c>
      <c r="P97" s="18">
        <v>49.8</v>
      </c>
      <c r="Q97" s="6">
        <f t="array" ref="Q97">XLOOKUP(K97/1000, '运费（邮政）'!$A$2:$A$21, '运费（邮政）'!$B$2:$B$21, "超出范围", 1)</f>
        <v>1420</v>
      </c>
      <c r="R97" s="18">
        <v>15.99</v>
      </c>
      <c r="S97" s="19">
        <f t="shared" si="2"/>
        <v>9.190213803</v>
      </c>
      <c r="T97" s="20">
        <f t="shared" si="3"/>
        <v>65.79</v>
      </c>
      <c r="U97" s="21">
        <f t="array" ref="U97">XLOOKUP(O97/1000, '运费（橙联）'!$A$2:$A$57, '运费（橙联）'!$B$2:$B$57, "超出范围", 1)</f>
        <v>1778</v>
      </c>
      <c r="V97" s="22">
        <f>(P97*'参数表'!$C$2*(1+'参数表'!$C$3))*$B$1+'参数表'!$C$4</f>
        <v>947.01036</v>
      </c>
      <c r="W97" s="3">
        <v>0.153</v>
      </c>
      <c r="X97" s="4">
        <v>0.0135</v>
      </c>
      <c r="Y97" s="23">
        <f t="shared" si="4"/>
        <v>846.608306</v>
      </c>
      <c r="Z97" s="24">
        <f t="shared" si="5"/>
        <v>0.1197194844</v>
      </c>
      <c r="AA97" s="25">
        <f t="shared" si="6"/>
        <v>0.2929440505</v>
      </c>
      <c r="AB97" s="23">
        <f t="shared" si="7"/>
        <v>1271.439319</v>
      </c>
      <c r="AC97" s="24">
        <f t="shared" si="8"/>
        <v>0.1360966411</v>
      </c>
      <c r="AD97" s="25">
        <f t="shared" si="9"/>
        <v>0.439944401</v>
      </c>
      <c r="AE97" s="26">
        <f>P97*(1-I97)*(1+'参数表'!$C$6)*(W97+X97+H97)*1.1+0.4*1.1</f>
        <v>13.485857</v>
      </c>
      <c r="AF97" s="26">
        <f t="shared" si="10"/>
        <v>17.2938755</v>
      </c>
    </row>
    <row r="98">
      <c r="A98" s="53" t="s">
        <v>318</v>
      </c>
      <c r="C98" s="30" t="s">
        <v>319</v>
      </c>
      <c r="D98" s="2" t="s">
        <v>61</v>
      </c>
      <c r="E98" s="14"/>
      <c r="F98" s="14"/>
      <c r="G98" s="34" t="s">
        <v>320</v>
      </c>
      <c r="H98" s="3">
        <v>0.05</v>
      </c>
      <c r="I98" s="3">
        <v>0.0</v>
      </c>
      <c r="J98" s="15">
        <v>6050.0</v>
      </c>
      <c r="K98" s="16">
        <v>180.0</v>
      </c>
      <c r="L98" s="16">
        <v>34.0</v>
      </c>
      <c r="M98" s="16">
        <v>24.0</v>
      </c>
      <c r="N98" s="16">
        <v>2.0</v>
      </c>
      <c r="O98" s="17">
        <f t="shared" si="12"/>
        <v>204</v>
      </c>
      <c r="P98" s="18">
        <v>82.8</v>
      </c>
      <c r="Q98" s="6">
        <f t="array" ref="Q98">XLOOKUP(K98/1000, '运费（邮政）'!$A$2:$A$21, '运费（邮政）'!$B$2:$B$21, "超出范围", 1)</f>
        <v>1060</v>
      </c>
      <c r="R98" s="18">
        <v>24.99</v>
      </c>
      <c r="S98" s="19">
        <f t="shared" si="2"/>
        <v>13.70740113</v>
      </c>
      <c r="T98" s="20">
        <f t="shared" si="3"/>
        <v>107.79</v>
      </c>
      <c r="U98" s="21">
        <f t="array" ref="U98">XLOOKUP(O98/1000, '运费（橙联）'!$A$2:$A$57, '运费（橙联）'!$B$2:$B$57, "超出范围", 1)</f>
        <v>1581</v>
      </c>
      <c r="V98" s="22">
        <f>(P98*'参数表'!$C$2*(1+'参数表'!$C$3))*$B$1+'参数表'!$C$4</f>
        <v>1425.45096</v>
      </c>
      <c r="W98" s="3">
        <v>0.153</v>
      </c>
      <c r="X98" s="4">
        <v>0.0135</v>
      </c>
      <c r="Y98" s="23">
        <f t="shared" si="4"/>
        <v>1505.040316</v>
      </c>
      <c r="Z98" s="24">
        <f t="shared" si="5"/>
        <v>0.1280057423</v>
      </c>
      <c r="AA98" s="25">
        <f t="shared" si="6"/>
        <v>0.2487669944</v>
      </c>
      <c r="AB98" s="23">
        <f t="shared" si="7"/>
        <v>2262.075029</v>
      </c>
      <c r="AC98" s="24">
        <f t="shared" si="8"/>
        <v>0.1477883462</v>
      </c>
      <c r="AD98" s="25">
        <f t="shared" si="9"/>
        <v>0.373896699</v>
      </c>
      <c r="AE98" s="26">
        <f>P98*(1-I98)*(1+'参数表'!$C$6)*(W98+X98+H98)*1.1+0.4*1.1</f>
        <v>22.130702</v>
      </c>
      <c r="AF98" s="26">
        <f t="shared" si="10"/>
        <v>28.0820705</v>
      </c>
    </row>
    <row r="99">
      <c r="A99" s="44" t="s">
        <v>321</v>
      </c>
      <c r="C99" s="30" t="s">
        <v>322</v>
      </c>
      <c r="D99" s="2" t="s">
        <v>61</v>
      </c>
      <c r="E99" s="14"/>
      <c r="F99" s="14"/>
      <c r="G99" s="34" t="s">
        <v>323</v>
      </c>
      <c r="H99" s="3">
        <v>0.05</v>
      </c>
      <c r="I99" s="3">
        <v>0.0</v>
      </c>
      <c r="J99" s="15">
        <v>3300.0</v>
      </c>
      <c r="K99" s="16">
        <v>120.0</v>
      </c>
      <c r="L99" s="16">
        <v>34.0</v>
      </c>
      <c r="M99" s="16">
        <v>24.0</v>
      </c>
      <c r="N99" s="16">
        <v>2.0</v>
      </c>
      <c r="O99" s="17">
        <f t="shared" si="12"/>
        <v>204</v>
      </c>
      <c r="P99" s="18">
        <v>49.8</v>
      </c>
      <c r="Q99" s="6">
        <f t="array" ref="Q99">XLOOKUP(K99/1000, '运费（邮政）'!$A$2:$A$21, '运费（邮政）'!$B$2:$B$21, "超出范围", 1)</f>
        <v>1060</v>
      </c>
      <c r="R99" s="18">
        <v>18.99</v>
      </c>
      <c r="S99" s="19">
        <f t="shared" si="2"/>
        <v>10.33810113</v>
      </c>
      <c r="T99" s="20">
        <f t="shared" si="3"/>
        <v>68.79</v>
      </c>
      <c r="U99" s="21">
        <f t="array" ref="U99">XLOOKUP(O99/1000, '运费（橙联）'!$A$2:$A$57, '运费（橙联）'!$B$2:$B$57, "超出范围", 1)</f>
        <v>1581</v>
      </c>
      <c r="V99" s="22">
        <f>(P99*'参数表'!$C$2*(1+'参数表'!$C$3))*$B$1+'参数表'!$C$4</f>
        <v>947.01036</v>
      </c>
      <c r="W99" s="3">
        <v>0.153</v>
      </c>
      <c r="X99" s="4">
        <v>0.0135</v>
      </c>
      <c r="Y99" s="23">
        <f t="shared" si="4"/>
        <v>796.608306</v>
      </c>
      <c r="Z99" s="24">
        <f t="shared" si="5"/>
        <v>0.1126489488</v>
      </c>
      <c r="AA99" s="25">
        <f t="shared" si="6"/>
        <v>0.2413964564</v>
      </c>
      <c r="AB99" s="23">
        <f t="shared" si="7"/>
        <v>1382.987419</v>
      </c>
      <c r="AC99" s="24">
        <f t="shared" si="8"/>
        <v>0.1415808696</v>
      </c>
      <c r="AD99" s="25">
        <f t="shared" si="9"/>
        <v>0.4190870967</v>
      </c>
      <c r="AE99" s="26">
        <f>P99*(1-I99)*(1+'参数表'!$C$6)*(W99+X99+H99)*1.1+0.4*1.1</f>
        <v>13.485857</v>
      </c>
      <c r="AF99" s="26">
        <f t="shared" si="10"/>
        <v>18.0083255</v>
      </c>
    </row>
    <row r="100">
      <c r="A100" s="44" t="s">
        <v>324</v>
      </c>
      <c r="C100" s="30" t="s">
        <v>325</v>
      </c>
      <c r="D100" s="2" t="s">
        <v>61</v>
      </c>
      <c r="E100" s="14"/>
      <c r="F100" s="14"/>
      <c r="G100" s="48" t="s">
        <v>326</v>
      </c>
      <c r="H100" s="3">
        <v>0.05</v>
      </c>
      <c r="I100" s="3">
        <v>0.0</v>
      </c>
      <c r="J100" s="15">
        <v>4000.0</v>
      </c>
      <c r="K100" s="16">
        <v>180.0</v>
      </c>
      <c r="L100" s="16">
        <v>34.0</v>
      </c>
      <c r="M100" s="16">
        <v>24.0</v>
      </c>
      <c r="N100" s="16">
        <v>2.0</v>
      </c>
      <c r="O100" s="17">
        <f t="shared" si="12"/>
        <v>204</v>
      </c>
      <c r="P100" s="18">
        <v>58.9</v>
      </c>
      <c r="Q100" s="6">
        <f t="array" ref="Q100">XLOOKUP(K100/1000, '运费（邮政）'!$A$2:$A$21, '运费（邮政）'!$B$2:$B$21, "超出范围", 1)</f>
        <v>1060</v>
      </c>
      <c r="R100" s="18">
        <v>18.99</v>
      </c>
      <c r="S100" s="19">
        <f t="shared" si="2"/>
        <v>11.26721113</v>
      </c>
      <c r="T100" s="20">
        <f t="shared" si="3"/>
        <v>77.89</v>
      </c>
      <c r="U100" s="21">
        <f t="array" ref="U100">XLOOKUP(O100/1000, '运费（橙联）'!$A$2:$A$57, '运费（橙联）'!$B$2:$B$57, "超出范围", 1)</f>
        <v>1581</v>
      </c>
      <c r="V100" s="22">
        <f>(P100*'参数表'!$C$2*(1+'参数表'!$C$3))*$B$1+'参数表'!$C$4</f>
        <v>1078.94398</v>
      </c>
      <c r="W100" s="3">
        <v>0.153</v>
      </c>
      <c r="X100" s="4">
        <v>0.0135</v>
      </c>
      <c r="Y100" s="23">
        <f t="shared" si="4"/>
        <v>1050.297133</v>
      </c>
      <c r="Z100" s="24">
        <f t="shared" si="5"/>
        <v>0.1255765481</v>
      </c>
      <c r="AA100" s="25">
        <f t="shared" si="6"/>
        <v>0.2625742833</v>
      </c>
      <c r="AB100" s="23">
        <f t="shared" si="7"/>
        <v>1504.742626</v>
      </c>
      <c r="AC100" s="24">
        <f t="shared" si="8"/>
        <v>0.1360480043</v>
      </c>
      <c r="AD100" s="25">
        <f t="shared" si="9"/>
        <v>0.3761856565</v>
      </c>
      <c r="AE100" s="26">
        <f>P100*(1-I100)*(1+'参数表'!$C$6)*(W100+X100+H100)*1.1+0.4*1.1</f>
        <v>15.8697385</v>
      </c>
      <c r="AF100" s="26">
        <f t="shared" si="10"/>
        <v>20.392207</v>
      </c>
    </row>
    <row r="101">
      <c r="A101" s="44" t="s">
        <v>327</v>
      </c>
      <c r="C101" s="30" t="s">
        <v>328</v>
      </c>
      <c r="D101" s="2" t="s">
        <v>61</v>
      </c>
      <c r="E101" s="14"/>
      <c r="F101" s="14"/>
      <c r="G101" s="48" t="s">
        <v>329</v>
      </c>
      <c r="H101" s="3">
        <v>0.05</v>
      </c>
      <c r="I101" s="3">
        <v>0.0</v>
      </c>
      <c r="J101" s="15">
        <v>2414.0</v>
      </c>
      <c r="K101" s="16">
        <v>150.0</v>
      </c>
      <c r="L101" s="16">
        <v>34.0</v>
      </c>
      <c r="M101" s="16">
        <v>24.0</v>
      </c>
      <c r="N101" s="16">
        <v>2.0</v>
      </c>
      <c r="O101" s="17">
        <f t="shared" si="12"/>
        <v>204</v>
      </c>
      <c r="P101" s="18">
        <v>39.8</v>
      </c>
      <c r="Q101" s="6">
        <f t="array" ref="Q101">XLOOKUP(K101/1000, '运费（邮政）'!$A$2:$A$21, '运费（邮政）'!$B$2:$B$21, "超出范围", 1)</f>
        <v>1060</v>
      </c>
      <c r="R101" s="18">
        <v>15.99</v>
      </c>
      <c r="S101" s="19">
        <f t="shared" si="2"/>
        <v>9.317101127</v>
      </c>
      <c r="T101" s="20">
        <f t="shared" si="3"/>
        <v>55.79</v>
      </c>
      <c r="U101" s="21">
        <f t="array" ref="U101">XLOOKUP(O101/1000, '运费（橙联）'!$A$2:$A$57, '运费（橙联）'!$B$2:$B$57, "超出范围", 1)</f>
        <v>1581</v>
      </c>
      <c r="V101" s="22">
        <f>(P101*'参数表'!$C$2*(1+'参数表'!$C$3))*$B$1+'参数表'!$C$4</f>
        <v>802.02836</v>
      </c>
      <c r="W101" s="3">
        <v>0.153</v>
      </c>
      <c r="X101" s="4">
        <v>0.0135</v>
      </c>
      <c r="Y101" s="23">
        <f t="shared" si="4"/>
        <v>634.598606</v>
      </c>
      <c r="Z101" s="24">
        <f t="shared" si="5"/>
        <v>0.1122865394</v>
      </c>
      <c r="AA101" s="25">
        <f t="shared" si="6"/>
        <v>0.262882604</v>
      </c>
      <c r="AB101" s="23">
        <f t="shared" si="7"/>
        <v>1041.411619</v>
      </c>
      <c r="AC101" s="24">
        <f t="shared" si="8"/>
        <v>0.1314551827</v>
      </c>
      <c r="AD101" s="25">
        <f t="shared" si="9"/>
        <v>0.4314049789</v>
      </c>
      <c r="AE101" s="26">
        <f>P101*(1-I101)*(1+'参数表'!$C$6)*(W101+X101+H101)*1.1+0.4*1.1</f>
        <v>10.866207</v>
      </c>
      <c r="AF101" s="26">
        <f t="shared" si="10"/>
        <v>14.6742255</v>
      </c>
    </row>
    <row r="102">
      <c r="A102" s="44" t="s">
        <v>330</v>
      </c>
      <c r="C102" s="30" t="s">
        <v>331</v>
      </c>
      <c r="D102" s="2" t="s">
        <v>61</v>
      </c>
      <c r="E102" s="14"/>
      <c r="F102" s="14"/>
      <c r="G102" s="34" t="s">
        <v>332</v>
      </c>
      <c r="H102" s="3">
        <v>0.05</v>
      </c>
      <c r="I102" s="3">
        <v>0.0</v>
      </c>
      <c r="J102" s="15">
        <v>5500.0</v>
      </c>
      <c r="K102" s="16">
        <v>150.0</v>
      </c>
      <c r="L102" s="16">
        <v>34.0</v>
      </c>
      <c r="M102" s="16">
        <v>24.0</v>
      </c>
      <c r="N102" s="16">
        <v>2.0</v>
      </c>
      <c r="O102" s="17">
        <f t="shared" si="12"/>
        <v>204</v>
      </c>
      <c r="P102" s="18">
        <v>79.8</v>
      </c>
      <c r="Q102" s="6">
        <f t="array" ref="Q102">XLOOKUP(K102/1000, '运费（邮政）'!$A$2:$A$21, '运费（邮政）'!$B$2:$B$21, "超出范围", 1)</f>
        <v>1060</v>
      </c>
      <c r="R102" s="18">
        <v>18.99</v>
      </c>
      <c r="S102" s="19">
        <f t="shared" si="2"/>
        <v>13.40110113</v>
      </c>
      <c r="T102" s="20">
        <f t="shared" si="3"/>
        <v>98.79</v>
      </c>
      <c r="U102" s="21">
        <f t="array" ref="U102">XLOOKUP(O102/1000, '运费（橙联）'!$A$2:$A$57, '运费（橙联）'!$B$2:$B$57, "超出范围", 1)</f>
        <v>1581</v>
      </c>
      <c r="V102" s="22">
        <f>(P102*'参数表'!$C$2*(1+'参数表'!$C$3))*$B$1+'参数表'!$C$4</f>
        <v>1381.95636</v>
      </c>
      <c r="W102" s="3">
        <v>0.153</v>
      </c>
      <c r="X102" s="4">
        <v>0.0135</v>
      </c>
      <c r="Y102" s="23">
        <f t="shared" si="4"/>
        <v>1740.637406</v>
      </c>
      <c r="Z102" s="24">
        <f t="shared" si="5"/>
        <v>0.1536091466</v>
      </c>
      <c r="AA102" s="25">
        <f t="shared" si="6"/>
        <v>0.3164795284</v>
      </c>
      <c r="AB102" s="23">
        <f t="shared" si="7"/>
        <v>1892.070519</v>
      </c>
      <c r="AC102" s="24">
        <f t="shared" si="8"/>
        <v>0.1348764073</v>
      </c>
      <c r="AD102" s="25">
        <f t="shared" si="9"/>
        <v>0.3440128216</v>
      </c>
      <c r="AE102" s="26">
        <f>P102*(1-I102)*(1+'参数表'!$C$6)*(W102+X102+H102)*1.1+0.4*1.1</f>
        <v>21.344807</v>
      </c>
      <c r="AF102" s="26">
        <f t="shared" si="10"/>
        <v>25.8672755</v>
      </c>
    </row>
    <row r="103">
      <c r="A103" s="44" t="s">
        <v>333</v>
      </c>
      <c r="C103" s="30" t="s">
        <v>334</v>
      </c>
      <c r="D103" s="2" t="s">
        <v>61</v>
      </c>
      <c r="E103" s="14"/>
      <c r="F103" s="14"/>
      <c r="G103" s="48" t="s">
        <v>335</v>
      </c>
      <c r="H103" s="3">
        <v>0.05</v>
      </c>
      <c r="I103" s="3">
        <v>0.0</v>
      </c>
      <c r="J103" s="15">
        <v>1386.0</v>
      </c>
      <c r="K103" s="16">
        <v>150.0</v>
      </c>
      <c r="L103" s="16">
        <v>34.0</v>
      </c>
      <c r="M103" s="16">
        <v>24.0</v>
      </c>
      <c r="N103" s="16">
        <v>2.0</v>
      </c>
      <c r="O103" s="17">
        <f t="shared" si="12"/>
        <v>204</v>
      </c>
      <c r="P103" s="18">
        <v>27.8</v>
      </c>
      <c r="Q103" s="6">
        <f t="array" ref="Q103">XLOOKUP(K103/1000, '运费（邮政）'!$A$2:$A$21, '运费（邮政）'!$B$2:$B$21, "超出范围", 1)</f>
        <v>1060</v>
      </c>
      <c r="R103" s="18">
        <v>12.99</v>
      </c>
      <c r="S103" s="19">
        <f t="shared" si="2"/>
        <v>8.091901127</v>
      </c>
      <c r="T103" s="20">
        <f t="shared" si="3"/>
        <v>40.79</v>
      </c>
      <c r="U103" s="21">
        <f t="array" ref="U103">XLOOKUP(O103/1000, '运费（橙联）'!$A$2:$A$57, '运费（橙联）'!$B$2:$B$57, "超出范围", 1)</f>
        <v>1581</v>
      </c>
      <c r="V103" s="22">
        <f>(P103*'参数表'!$C$2*(1+'参数表'!$C$3))*$B$1+'参数表'!$C$4</f>
        <v>628.04996</v>
      </c>
      <c r="W103" s="3">
        <v>0.153</v>
      </c>
      <c r="X103" s="4">
        <v>0.0135</v>
      </c>
      <c r="Y103" s="23">
        <f t="shared" si="4"/>
        <v>404.986966</v>
      </c>
      <c r="Z103" s="24">
        <f t="shared" si="5"/>
        <v>0.1025906794</v>
      </c>
      <c r="AA103" s="25">
        <f t="shared" si="6"/>
        <v>0.2921983882</v>
      </c>
      <c r="AB103" s="23">
        <f t="shared" si="7"/>
        <v>661.230279</v>
      </c>
      <c r="AC103" s="24">
        <f t="shared" si="8"/>
        <v>0.1141591385</v>
      </c>
      <c r="AD103" s="25">
        <f t="shared" si="9"/>
        <v>0.4770781234</v>
      </c>
      <c r="AE103" s="26">
        <f>P103*(1-I103)*(1+'参数表'!$C$6)*(W103+X103+H103)*1.1+0.4*1.1</f>
        <v>7.722627</v>
      </c>
      <c r="AF103" s="26">
        <f t="shared" si="10"/>
        <v>10.8161955</v>
      </c>
    </row>
    <row r="104">
      <c r="A104" s="44" t="s">
        <v>336</v>
      </c>
      <c r="B104" s="44" t="s">
        <v>337</v>
      </c>
      <c r="C104" s="30" t="s">
        <v>338</v>
      </c>
      <c r="D104" s="2" t="s">
        <v>61</v>
      </c>
      <c r="E104" s="14"/>
      <c r="F104" s="14"/>
      <c r="G104" s="34" t="s">
        <v>339</v>
      </c>
      <c r="H104" s="3">
        <v>0.05</v>
      </c>
      <c r="I104" s="3">
        <v>0.0</v>
      </c>
      <c r="J104" s="15">
        <v>2300.0</v>
      </c>
      <c r="K104" s="16">
        <v>180.0</v>
      </c>
      <c r="L104" s="16">
        <v>40.0</v>
      </c>
      <c r="M104" s="16">
        <v>30.0</v>
      </c>
      <c r="N104" s="16">
        <v>0.25</v>
      </c>
      <c r="O104" s="17">
        <f t="shared" si="12"/>
        <v>180</v>
      </c>
      <c r="P104" s="18">
        <v>38.8</v>
      </c>
      <c r="Q104" s="6">
        <f t="array" ref="Q104">XLOOKUP(K104/1000, '运费（邮政）'!$A$2:$A$21, '运费（邮政）'!$B$2:$B$21, "超出范围", 1)</f>
        <v>1060</v>
      </c>
      <c r="R104" s="18">
        <v>12.99</v>
      </c>
      <c r="S104" s="19">
        <f t="shared" si="2"/>
        <v>7.707958873</v>
      </c>
      <c r="T104" s="20">
        <f t="shared" si="3"/>
        <v>51.79</v>
      </c>
      <c r="U104" s="21">
        <f t="array" ref="U104">XLOOKUP(O104/1000, '运费（橙联）'!$A$2:$A$57, '运费（橙联）'!$B$2:$B$57, "超出范围", 1)</f>
        <v>1367</v>
      </c>
      <c r="V104" s="22">
        <f>(P104*'参数表'!$C$2*(1+'参数表'!$C$3))*$B$1+'参数表'!$C$4</f>
        <v>787.53016</v>
      </c>
      <c r="W104" s="3">
        <v>0.127</v>
      </c>
      <c r="X104" s="4">
        <v>0.0135</v>
      </c>
      <c r="Y104" s="23">
        <f t="shared" si="4"/>
        <v>817.129652</v>
      </c>
      <c r="Z104" s="24">
        <f t="shared" si="5"/>
        <v>0.148310159</v>
      </c>
      <c r="AA104" s="25">
        <f t="shared" si="6"/>
        <v>0.3552737617</v>
      </c>
      <c r="AB104" s="23">
        <f t="shared" si="7"/>
        <v>1180.647753</v>
      </c>
      <c r="AC104" s="24">
        <f t="shared" si="8"/>
        <v>0.1605410465</v>
      </c>
      <c r="AD104" s="25">
        <f t="shared" si="9"/>
        <v>0.51332511</v>
      </c>
      <c r="AE104" s="26">
        <f>P104*(1-I104)*(1+'参数表'!$C$6)*(W104+X104+H104)*1.1+0.4*1.1</f>
        <v>9.383594</v>
      </c>
      <c r="AF104" s="26">
        <f t="shared" si="10"/>
        <v>12.1056485</v>
      </c>
    </row>
    <row r="105">
      <c r="B105" s="54" t="s">
        <v>340</v>
      </c>
      <c r="C105" s="30" t="s">
        <v>341</v>
      </c>
      <c r="D105" s="2" t="s">
        <v>54</v>
      </c>
      <c r="E105" s="14"/>
      <c r="F105" s="14"/>
      <c r="G105" s="40" t="s">
        <v>342</v>
      </c>
      <c r="H105" s="3">
        <v>0.05</v>
      </c>
      <c r="I105" s="3">
        <v>0.0</v>
      </c>
      <c r="J105" s="15"/>
      <c r="K105" s="16"/>
      <c r="L105" s="16">
        <v>34.0</v>
      </c>
      <c r="M105" s="16">
        <v>24.0</v>
      </c>
      <c r="N105" s="16">
        <v>2.0</v>
      </c>
      <c r="O105" s="17">
        <f t="shared" si="12"/>
        <v>204</v>
      </c>
      <c r="P105" s="18"/>
      <c r="Q105" s="6">
        <f t="array" ref="Q105">XLOOKUP(K105/1000, '运费（邮政）'!$A$2:$A$21, '运费（邮政）'!$B$2:$B$21, "超出范围", 1)</f>
        <v>880</v>
      </c>
      <c r="R105" s="18"/>
      <c r="S105" s="19">
        <f t="shared" si="2"/>
        <v>6.521126761</v>
      </c>
      <c r="T105" s="20">
        <f t="shared" si="3"/>
        <v>0</v>
      </c>
      <c r="U105" s="21">
        <f t="array" ref="U105">XLOOKUP(O105/1000, '运费（橙联）'!$A$2:$A$57, '运费（橙联）'!$B$2:$B$57, "超出范围", 1)</f>
        <v>1581</v>
      </c>
      <c r="V105" s="22">
        <f>(P105*'参数表'!$C$2*(1+'参数表'!$C$3))*$B$1+'参数表'!$C$4</f>
        <v>225</v>
      </c>
      <c r="W105" s="3">
        <v>0.127</v>
      </c>
      <c r="X105" s="4">
        <v>0.0135</v>
      </c>
      <c r="Y105" s="23">
        <f t="shared" si="4"/>
        <v>-942.48</v>
      </c>
      <c r="Z105" s="24" t="str">
        <f t="shared" si="5"/>
        <v>#DIV/0!</v>
      </c>
      <c r="AA105" s="25" t="str">
        <f t="shared" si="6"/>
        <v>#DIV/0!</v>
      </c>
      <c r="AB105" s="23">
        <f t="shared" si="7"/>
        <v>-1868.48</v>
      </c>
      <c r="AC105" s="24" t="str">
        <f t="shared" si="8"/>
        <v>#DIV/0!</v>
      </c>
      <c r="AD105" s="25" t="str">
        <f t="shared" si="9"/>
        <v>#DIV/0!</v>
      </c>
      <c r="AE105" s="26">
        <f>P105*(1-I105)*(1+'参数表'!$C$6)*(W105+X105+H105)*1.1+0.4*1.1</f>
        <v>0.44</v>
      </c>
      <c r="AF105" s="26">
        <f t="shared" si="10"/>
        <v>0.44</v>
      </c>
    </row>
    <row r="106">
      <c r="A106" s="44" t="s">
        <v>343</v>
      </c>
      <c r="C106" s="30" t="s">
        <v>344</v>
      </c>
      <c r="D106" s="2" t="s">
        <v>61</v>
      </c>
      <c r="E106" s="14"/>
      <c r="F106" s="14"/>
      <c r="G106" s="13" t="s">
        <v>345</v>
      </c>
      <c r="H106" s="3">
        <v>0.05</v>
      </c>
      <c r="I106" s="3">
        <v>0.0</v>
      </c>
      <c r="J106" s="15">
        <v>3900.0</v>
      </c>
      <c r="K106" s="16">
        <v>450.0</v>
      </c>
      <c r="L106" s="16">
        <v>35.0</v>
      </c>
      <c r="M106" s="16">
        <v>25.0</v>
      </c>
      <c r="N106" s="16">
        <v>5.0</v>
      </c>
      <c r="O106" s="17">
        <f t="shared" si="12"/>
        <v>546.875</v>
      </c>
      <c r="P106" s="18">
        <v>59.8</v>
      </c>
      <c r="Q106" s="6">
        <f t="array" ref="Q106">XLOOKUP(K106/1000, '运费（邮政）'!$A$2:$A$21, '运费（邮政）'!$B$2:$B$21, "超出范围", 1)</f>
        <v>1600</v>
      </c>
      <c r="R106" s="18">
        <v>21.99</v>
      </c>
      <c r="S106" s="19">
        <f t="shared" si="2"/>
        <v>12.07036873</v>
      </c>
      <c r="T106" s="20">
        <f t="shared" si="3"/>
        <v>81.79</v>
      </c>
      <c r="U106" s="21">
        <f t="array" ref="U106">XLOOKUP(O106/1000, '运费（橙联）'!$A$2:$A$57, '运费（橙联）'!$B$2:$B$57, "超出范围", 1)</f>
        <v>2222</v>
      </c>
      <c r="V106" s="22">
        <f>(P106*'参数表'!$C$2*(1+'参数表'!$C$3))*$B$1+'参数表'!$C$4</f>
        <v>1091.99236</v>
      </c>
      <c r="W106" s="3">
        <v>0.127</v>
      </c>
      <c r="X106" s="4">
        <v>0.0135</v>
      </c>
      <c r="Y106" s="23">
        <f t="shared" si="4"/>
        <v>971.763742</v>
      </c>
      <c r="Z106" s="24">
        <f t="shared" si="5"/>
        <v>0.114438238</v>
      </c>
      <c r="AA106" s="25">
        <f t="shared" si="6"/>
        <v>0.2491701903</v>
      </c>
      <c r="AB106" s="23">
        <f t="shared" si="7"/>
        <v>1726.014743</v>
      </c>
      <c r="AC106" s="24">
        <f t="shared" si="8"/>
        <v>0.1486127082</v>
      </c>
      <c r="AD106" s="25">
        <f t="shared" si="9"/>
        <v>0.4425678828</v>
      </c>
      <c r="AE106" s="26">
        <f>P106*(1-I106)*(1+'参数表'!$C$6)*(W106+X106+H106)*1.1+0.4*1.1</f>
        <v>14.224199</v>
      </c>
      <c r="AF106" s="26">
        <f t="shared" si="10"/>
        <v>18.8322035</v>
      </c>
    </row>
    <row r="107">
      <c r="A107" s="44" t="s">
        <v>346</v>
      </c>
      <c r="C107" s="30" t="s">
        <v>347</v>
      </c>
      <c r="D107" s="2" t="s">
        <v>61</v>
      </c>
      <c r="E107" s="14"/>
      <c r="F107" s="14"/>
      <c r="G107" s="13" t="s">
        <v>348</v>
      </c>
      <c r="H107" s="3">
        <v>0.05</v>
      </c>
      <c r="I107" s="3">
        <v>0.0</v>
      </c>
      <c r="J107" s="15">
        <v>3830.0</v>
      </c>
      <c r="K107" s="16">
        <v>450.0</v>
      </c>
      <c r="L107" s="16">
        <v>35.0</v>
      </c>
      <c r="M107" s="16">
        <v>25.0</v>
      </c>
      <c r="N107" s="16">
        <v>5.0</v>
      </c>
      <c r="O107" s="17">
        <f t="shared" si="12"/>
        <v>546.875</v>
      </c>
      <c r="P107" s="18">
        <v>59.8</v>
      </c>
      <c r="Q107" s="6">
        <f t="array" ref="Q107">XLOOKUP(K107/1000, '运费（邮政）'!$A$2:$A$21, '运费（邮政）'!$B$2:$B$21, "超出范围", 1)</f>
        <v>1600</v>
      </c>
      <c r="R107" s="18">
        <v>21.9</v>
      </c>
      <c r="S107" s="19">
        <f t="shared" si="2"/>
        <v>12.07036873</v>
      </c>
      <c r="T107" s="20">
        <f t="shared" si="3"/>
        <v>81.7</v>
      </c>
      <c r="U107" s="21">
        <f t="array" ref="U107">XLOOKUP(O107/1000, '运费（橙联）'!$A$2:$A$57, '运费（橙联）'!$B$2:$B$57, "超出范围", 1)</f>
        <v>2222</v>
      </c>
      <c r="V107" s="22">
        <f>(P107*'参数表'!$C$2*(1+'参数表'!$C$3))*$B$1+'参数表'!$C$4</f>
        <v>1091.99236</v>
      </c>
      <c r="W107" s="3">
        <v>0.127</v>
      </c>
      <c r="X107" s="4">
        <v>0.0135</v>
      </c>
      <c r="Y107" s="23">
        <f t="shared" si="4"/>
        <v>1041.763742</v>
      </c>
      <c r="Z107" s="24">
        <f t="shared" si="5"/>
        <v>0.1226816786</v>
      </c>
      <c r="AA107" s="25">
        <f t="shared" si="6"/>
        <v>0.272000977</v>
      </c>
      <c r="AB107" s="23">
        <f t="shared" si="7"/>
        <v>1785.912792</v>
      </c>
      <c r="AC107" s="24">
        <f t="shared" si="8"/>
        <v>0.1539394204</v>
      </c>
      <c r="AD107" s="25">
        <f t="shared" si="9"/>
        <v>0.4662957681</v>
      </c>
      <c r="AE107" s="26">
        <f>P107*(1-I107)*(1+'参数表'!$C$6)*(W107+X107+H107)*1.1+0.4*1.1</f>
        <v>14.224199</v>
      </c>
      <c r="AF107" s="26">
        <f t="shared" si="10"/>
        <v>18.813344</v>
      </c>
    </row>
    <row r="108">
      <c r="A108" s="44" t="s">
        <v>349</v>
      </c>
      <c r="C108" s="30" t="s">
        <v>350</v>
      </c>
      <c r="D108" s="2" t="s">
        <v>61</v>
      </c>
      <c r="E108" s="14"/>
      <c r="F108" s="14"/>
      <c r="G108" s="13" t="s">
        <v>351</v>
      </c>
      <c r="H108" s="3">
        <v>0.05</v>
      </c>
      <c r="I108" s="3">
        <v>0.0</v>
      </c>
      <c r="J108" s="15">
        <v>3830.0</v>
      </c>
      <c r="K108" s="16">
        <v>450.0</v>
      </c>
      <c r="L108" s="16">
        <v>35.0</v>
      </c>
      <c r="M108" s="16">
        <v>25.0</v>
      </c>
      <c r="N108" s="16">
        <v>5.0</v>
      </c>
      <c r="O108" s="17">
        <f t="shared" si="12"/>
        <v>546.875</v>
      </c>
      <c r="P108" s="18">
        <v>59.8</v>
      </c>
      <c r="Q108" s="6">
        <f t="array" ref="Q108">XLOOKUP(K108/1000, '运费（邮政）'!$A$2:$A$21, '运费（邮政）'!$B$2:$B$21, "超出范围", 1)</f>
        <v>1600</v>
      </c>
      <c r="R108" s="18">
        <v>21.9</v>
      </c>
      <c r="S108" s="19">
        <f t="shared" si="2"/>
        <v>12.07036873</v>
      </c>
      <c r="T108" s="20">
        <f t="shared" si="3"/>
        <v>81.7</v>
      </c>
      <c r="U108" s="21">
        <f t="array" ref="U108">XLOOKUP(O108/1000, '运费（橙联）'!$A$2:$A$57, '运费（橙联）'!$B$2:$B$57, "超出范围", 1)</f>
        <v>2222</v>
      </c>
      <c r="V108" s="22">
        <f>(P108*'参数表'!$C$2*(1+'参数表'!$C$3))*$B$1+'参数表'!$C$4</f>
        <v>1091.99236</v>
      </c>
      <c r="W108" s="3">
        <v>0.127</v>
      </c>
      <c r="X108" s="4">
        <v>0.0135</v>
      </c>
      <c r="Y108" s="23">
        <f t="shared" si="4"/>
        <v>1041.763742</v>
      </c>
      <c r="Z108" s="24">
        <f t="shared" si="5"/>
        <v>0.1226816786</v>
      </c>
      <c r="AA108" s="25">
        <f t="shared" si="6"/>
        <v>0.272000977</v>
      </c>
      <c r="AB108" s="23">
        <f t="shared" si="7"/>
        <v>1785.912792</v>
      </c>
      <c r="AC108" s="24">
        <f t="shared" si="8"/>
        <v>0.1539394204</v>
      </c>
      <c r="AD108" s="25">
        <f t="shared" si="9"/>
        <v>0.4662957681</v>
      </c>
      <c r="AE108" s="26">
        <f>P108*(1-I108)*(1+'参数表'!$C$6)*(W108+X108+H108)*1.1+0.4*1.1</f>
        <v>14.224199</v>
      </c>
      <c r="AF108" s="26">
        <f t="shared" si="10"/>
        <v>18.813344</v>
      </c>
    </row>
    <row r="109">
      <c r="A109" s="44" t="s">
        <v>352</v>
      </c>
      <c r="C109" s="30" t="s">
        <v>353</v>
      </c>
      <c r="D109" s="2" t="s">
        <v>61</v>
      </c>
      <c r="E109" s="14"/>
      <c r="F109" s="14"/>
      <c r="G109" s="34" t="s">
        <v>354</v>
      </c>
      <c r="H109" s="3">
        <v>0.05</v>
      </c>
      <c r="I109" s="3">
        <v>0.0</v>
      </c>
      <c r="J109" s="15">
        <v>13300.0</v>
      </c>
      <c r="K109" s="16">
        <v>510.0</v>
      </c>
      <c r="L109" s="16">
        <v>34.0</v>
      </c>
      <c r="M109" s="16">
        <v>24.0</v>
      </c>
      <c r="N109" s="16">
        <v>2.0</v>
      </c>
      <c r="O109" s="17">
        <f t="shared" si="12"/>
        <v>510</v>
      </c>
      <c r="P109" s="18">
        <v>178.0</v>
      </c>
      <c r="Q109" s="6">
        <f t="array" ref="Q109">XLOOKUP(K109/1000, '运费（邮政）'!$A$2:$A$21, '运费（邮政）'!$B$2:$B$21, "超出范围", 1)</f>
        <v>1780</v>
      </c>
      <c r="R109" s="18">
        <v>39.99</v>
      </c>
      <c r="S109" s="19">
        <f t="shared" si="2"/>
        <v>22.8709831</v>
      </c>
      <c r="T109" s="20">
        <f t="shared" si="3"/>
        <v>217.99</v>
      </c>
      <c r="U109" s="21">
        <f t="array" ref="U109">XLOOKUP(O109/1000, '运费（橙联）'!$A$2:$A$57, '运费（橙联）'!$B$2:$B$57, "超出范围", 1)</f>
        <v>2222</v>
      </c>
      <c r="V109" s="22">
        <f>(P109*'参数表'!$C$2*(1+'参数表'!$C$3))*$B$1+'参数表'!$C$4</f>
        <v>2805.6796</v>
      </c>
      <c r="W109" s="3">
        <v>0.127</v>
      </c>
      <c r="X109" s="4">
        <v>0.0135</v>
      </c>
      <c r="Y109" s="23">
        <f t="shared" si="4"/>
        <v>4307.27562</v>
      </c>
      <c r="Z109" s="24">
        <f t="shared" si="5"/>
        <v>0.1704097017</v>
      </c>
      <c r="AA109" s="25">
        <f t="shared" si="6"/>
        <v>0.3238553098</v>
      </c>
      <c r="AB109" s="23">
        <f t="shared" si="7"/>
        <v>5548.229581</v>
      </c>
      <c r="AC109" s="24">
        <f t="shared" si="8"/>
        <v>0.17923776</v>
      </c>
      <c r="AD109" s="25">
        <f t="shared" si="9"/>
        <v>0.4171601189</v>
      </c>
      <c r="AE109" s="26">
        <f>P109*(1-I109)*(1+'参数表'!$C$6)*(W109+X109+H109)*1.1+0.4*1.1</f>
        <v>41.46989</v>
      </c>
      <c r="AF109" s="26">
        <f t="shared" si="10"/>
        <v>49.8497945</v>
      </c>
    </row>
    <row r="110">
      <c r="A110" s="44" t="s">
        <v>355</v>
      </c>
      <c r="C110" s="30" t="s">
        <v>356</v>
      </c>
      <c r="D110" s="2" t="s">
        <v>61</v>
      </c>
      <c r="E110" s="14"/>
      <c r="F110" s="14"/>
      <c r="G110" s="34" t="s">
        <v>357</v>
      </c>
      <c r="H110" s="3">
        <v>0.05</v>
      </c>
      <c r="I110" s="3">
        <v>0.0</v>
      </c>
      <c r="J110" s="15">
        <v>7920.0</v>
      </c>
      <c r="K110" s="16">
        <v>280.0</v>
      </c>
      <c r="L110" s="16">
        <v>34.0</v>
      </c>
      <c r="M110" s="16">
        <v>24.0</v>
      </c>
      <c r="N110" s="16">
        <v>2.0</v>
      </c>
      <c r="O110" s="17">
        <f t="shared" si="12"/>
        <v>280</v>
      </c>
      <c r="P110" s="18">
        <v>112.0</v>
      </c>
      <c r="Q110" s="6">
        <f t="array" ref="Q110">XLOOKUP(K110/1000, '运费（邮政）'!$A$2:$A$21, '运费（邮政）'!$B$2:$B$21, "超出范围", 1)</f>
        <v>1240</v>
      </c>
      <c r="R110" s="18">
        <v>29.99</v>
      </c>
      <c r="S110" s="19">
        <f t="shared" si="2"/>
        <v>15.42111549</v>
      </c>
      <c r="T110" s="20">
        <f t="shared" si="3"/>
        <v>141.99</v>
      </c>
      <c r="U110" s="21">
        <f t="array" ref="U110">XLOOKUP(O110/1000, '运费（橙联）'!$A$2:$A$57, '运费（橙联）'!$B$2:$B$57, "超出范围", 1)</f>
        <v>1581</v>
      </c>
      <c r="V110" s="22">
        <f>(P110*'参数表'!$C$2*(1+'参数表'!$C$3))*$B$1+'参数表'!$C$4</f>
        <v>1848.7984</v>
      </c>
      <c r="W110" s="3">
        <v>0.127</v>
      </c>
      <c r="X110" s="4">
        <v>0.0135</v>
      </c>
      <c r="Y110" s="23">
        <f t="shared" si="4"/>
        <v>3015.56848</v>
      </c>
      <c r="Z110" s="24">
        <f t="shared" si="5"/>
        <v>0.1896106942</v>
      </c>
      <c r="AA110" s="25">
        <f t="shared" si="6"/>
        <v>0.380753596</v>
      </c>
      <c r="AB110" s="23">
        <f t="shared" si="7"/>
        <v>4191.964641</v>
      </c>
      <c r="AC110" s="24">
        <f t="shared" si="8"/>
        <v>0.2079081467</v>
      </c>
      <c r="AD110" s="25">
        <f t="shared" si="9"/>
        <v>0.5292884648</v>
      </c>
      <c r="AE110" s="26">
        <f>P110*(1-I110)*(1+'参数表'!$C$6)*(W110+X110+H110)*1.1+0.4*1.1</f>
        <v>26.25656</v>
      </c>
      <c r="AF110" s="26">
        <f t="shared" si="10"/>
        <v>32.5409645</v>
      </c>
    </row>
    <row r="111">
      <c r="A111" s="44" t="s">
        <v>358</v>
      </c>
      <c r="B111" s="44" t="s">
        <v>359</v>
      </c>
      <c r="C111" s="30" t="s">
        <v>360</v>
      </c>
      <c r="D111" s="2" t="s">
        <v>61</v>
      </c>
      <c r="E111" s="31" t="s">
        <v>61</v>
      </c>
      <c r="F111" s="14"/>
      <c r="G111" s="34" t="s">
        <v>361</v>
      </c>
      <c r="H111" s="3">
        <v>0.05</v>
      </c>
      <c r="I111" s="3">
        <v>0.0</v>
      </c>
      <c r="J111" s="15">
        <v>21000.0</v>
      </c>
      <c r="K111" s="16">
        <v>1410.0</v>
      </c>
      <c r="L111" s="16">
        <v>75.0</v>
      </c>
      <c r="M111" s="16">
        <v>15.0</v>
      </c>
      <c r="N111" s="16">
        <v>5.0</v>
      </c>
      <c r="O111" s="17">
        <f t="shared" si="12"/>
        <v>1410</v>
      </c>
      <c r="P111" s="18">
        <v>288.0</v>
      </c>
      <c r="Q111" s="6">
        <f t="array" ref="Q111">XLOOKUP(K111/1000, '运费（邮政）'!$A$2:$A$21, '运费（邮政）'!$B$2:$B$21, "超出范围", 1)</f>
        <v>3400</v>
      </c>
      <c r="R111" s="18">
        <v>64.99</v>
      </c>
      <c r="S111" s="19">
        <f t="shared" si="2"/>
        <v>35.04564507</v>
      </c>
      <c r="T111" s="20">
        <f t="shared" si="3"/>
        <v>352.99</v>
      </c>
      <c r="U111" s="21">
        <f t="array" ref="U111">XLOOKUP(O111/1000, '运费（橙联）'!$A$2:$A$57, '运费（橙联）'!$B$2:$B$57, "超出范围", 1)</f>
        <v>3976</v>
      </c>
      <c r="V111" s="22">
        <f>(P111*'参数表'!$C$2*(1+'参数表'!$C$3))*$B$1+'参数表'!$C$4</f>
        <v>4400.4816</v>
      </c>
      <c r="W111" s="3">
        <v>0.127</v>
      </c>
      <c r="X111" s="4">
        <v>0.0135</v>
      </c>
      <c r="Y111" s="23">
        <f t="shared" si="4"/>
        <v>7006.78752</v>
      </c>
      <c r="Z111" s="24">
        <f t="shared" si="5"/>
        <v>0.1713318545</v>
      </c>
      <c r="AA111" s="25">
        <f t="shared" si="6"/>
        <v>0.3336565486</v>
      </c>
      <c r="AB111" s="23">
        <f t="shared" si="7"/>
        <v>9325.036981</v>
      </c>
      <c r="AC111" s="24">
        <f t="shared" si="8"/>
        <v>0.1860372093</v>
      </c>
      <c r="AD111" s="25">
        <f t="shared" si="9"/>
        <v>0.44404938</v>
      </c>
      <c r="AE111" s="26">
        <f>P111*(1-I111)*(1+'参数表'!$C$6)*(W111+X111+H111)*1.1+0.4*1.1</f>
        <v>66.82544</v>
      </c>
      <c r="AF111" s="26">
        <f t="shared" si="10"/>
        <v>80.4440945</v>
      </c>
    </row>
    <row r="112">
      <c r="A112" s="44" t="s">
        <v>362</v>
      </c>
      <c r="C112" s="30" t="s">
        <v>363</v>
      </c>
      <c r="D112" s="2" t="s">
        <v>61</v>
      </c>
      <c r="E112" s="31"/>
      <c r="F112" s="31" t="s">
        <v>364</v>
      </c>
      <c r="G112" s="13"/>
      <c r="H112" s="3">
        <v>0.05</v>
      </c>
      <c r="I112" s="3">
        <v>0.0</v>
      </c>
      <c r="J112" s="15">
        <v>5280.0</v>
      </c>
      <c r="K112" s="16">
        <v>110.0</v>
      </c>
      <c r="L112" s="16">
        <v>7.0</v>
      </c>
      <c r="M112" s="16">
        <v>7.0</v>
      </c>
      <c r="N112" s="16">
        <v>7.0</v>
      </c>
      <c r="O112" s="17">
        <f t="shared" si="12"/>
        <v>110</v>
      </c>
      <c r="P112" s="18">
        <v>77.8</v>
      </c>
      <c r="Q112" s="6">
        <f t="array" ref="Q112">XLOOKUP(K112/1000, '运费（邮政）'!$A$2:$A$21, '运费（邮政）'!$B$2:$B$21, "超出范围", 1)</f>
        <v>1060</v>
      </c>
      <c r="R112" s="18">
        <v>21.99</v>
      </c>
      <c r="S112" s="19">
        <f t="shared" si="2"/>
        <v>11.68985887</v>
      </c>
      <c r="T112" s="20">
        <f t="shared" si="3"/>
        <v>99.79</v>
      </c>
      <c r="U112" s="21">
        <f t="array" ref="U112">XLOOKUP(O112/1000, '运费（橙联）'!$A$2:$A$57, '运费（橙联）'!$B$2:$B$57, "超出范围", 1)</f>
        <v>1367</v>
      </c>
      <c r="V112" s="22">
        <f>(P112*'参数表'!$C$2*(1+'参数表'!$C$3))*$B$1+'参数表'!$C$4</f>
        <v>1352.95996</v>
      </c>
      <c r="W112" s="3">
        <v>0.127</v>
      </c>
      <c r="X112" s="4">
        <v>0.0135</v>
      </c>
      <c r="Y112" s="23">
        <f t="shared" si="4"/>
        <v>2098.592962</v>
      </c>
      <c r="Z112" s="24">
        <f t="shared" si="5"/>
        <v>0.1899591732</v>
      </c>
      <c r="AA112" s="25">
        <f t="shared" si="6"/>
        <v>0.3974607883</v>
      </c>
      <c r="AB112" s="23">
        <f t="shared" si="7"/>
        <v>2906.876363</v>
      </c>
      <c r="AC112" s="24">
        <f t="shared" si="8"/>
        <v>0.2051403979</v>
      </c>
      <c r="AD112" s="25">
        <f t="shared" si="9"/>
        <v>0.5505447657</v>
      </c>
      <c r="AE112" s="26">
        <f>P112*(1-I112)*(1+'参数表'!$C$6)*(W112+X112+H112)*1.1+0.4*1.1</f>
        <v>18.373289</v>
      </c>
      <c r="AF112" s="26">
        <f t="shared" si="10"/>
        <v>22.9812935</v>
      </c>
    </row>
    <row r="113">
      <c r="A113" s="44" t="s">
        <v>365</v>
      </c>
      <c r="C113" s="30" t="s">
        <v>366</v>
      </c>
      <c r="D113" s="2" t="s">
        <v>61</v>
      </c>
      <c r="E113" s="31"/>
      <c r="F113" s="31" t="s">
        <v>367</v>
      </c>
      <c r="G113" s="32"/>
      <c r="H113" s="3">
        <v>0.05</v>
      </c>
      <c r="I113" s="3">
        <v>0.0</v>
      </c>
      <c r="J113" s="15">
        <v>3680.0</v>
      </c>
      <c r="K113" s="16">
        <v>80.0</v>
      </c>
      <c r="L113" s="16">
        <v>20.0</v>
      </c>
      <c r="M113" s="16">
        <v>10.0</v>
      </c>
      <c r="N113" s="16">
        <v>10.0</v>
      </c>
      <c r="O113" s="17">
        <f t="shared" si="12"/>
        <v>250</v>
      </c>
      <c r="P113" s="18">
        <v>62.8</v>
      </c>
      <c r="Q113" s="6">
        <f t="array" ref="Q113">XLOOKUP(K113/1000, '运费（邮政）'!$A$2:$A$21, '运费（邮政）'!$B$2:$B$21, "超出范围", 1)</f>
        <v>880</v>
      </c>
      <c r="R113" s="18">
        <v>21.99</v>
      </c>
      <c r="S113" s="19">
        <f t="shared" si="2"/>
        <v>12.93300676</v>
      </c>
      <c r="T113" s="20">
        <f t="shared" si="3"/>
        <v>84.79</v>
      </c>
      <c r="U113" s="21">
        <f t="array" ref="U113">XLOOKUP(O113/1000, '运费（橙联）'!$A$2:$A$57, '运费（橙联）'!$B$2:$B$57, "超出范围", 1)</f>
        <v>1581</v>
      </c>
      <c r="V113" s="22">
        <f>(P113*'参数表'!$C$2*(1+'参数表'!$C$3))*$B$1+'参数表'!$C$4</f>
        <v>1135.48696</v>
      </c>
      <c r="W113" s="3">
        <v>0.127</v>
      </c>
      <c r="X113" s="4">
        <v>0.0135</v>
      </c>
      <c r="Y113" s="23">
        <f t="shared" si="4"/>
        <v>2239.568612</v>
      </c>
      <c r="Z113" s="24">
        <f t="shared" si="5"/>
        <v>0.2511402857</v>
      </c>
      <c r="AA113" s="25">
        <f t="shared" si="6"/>
        <v>0.6085784272</v>
      </c>
      <c r="AB113" s="23">
        <f t="shared" si="7"/>
        <v>2871.325013</v>
      </c>
      <c r="AC113" s="24">
        <f t="shared" si="8"/>
        <v>0.2384785786</v>
      </c>
      <c r="AD113" s="25">
        <f t="shared" si="9"/>
        <v>0.7802513622</v>
      </c>
      <c r="AE113" s="26">
        <f>P113*(1-I113)*(1+'参数表'!$C$6)*(W113+X113+H113)*1.1+0.4*1.1</f>
        <v>14.915714</v>
      </c>
      <c r="AF113" s="26">
        <f t="shared" si="10"/>
        <v>19.5237185</v>
      </c>
    </row>
    <row r="114">
      <c r="A114" s="44" t="s">
        <v>368</v>
      </c>
      <c r="C114" s="30" t="s">
        <v>369</v>
      </c>
      <c r="D114" s="2" t="s">
        <v>61</v>
      </c>
      <c r="E114" s="14"/>
      <c r="F114" s="14"/>
      <c r="G114" s="13" t="s">
        <v>370</v>
      </c>
      <c r="H114" s="3">
        <v>0.05</v>
      </c>
      <c r="I114" s="3">
        <v>0.0</v>
      </c>
      <c r="J114" s="15">
        <v>3900.0</v>
      </c>
      <c r="K114" s="16">
        <v>510.0</v>
      </c>
      <c r="L114" s="16">
        <v>40.0</v>
      </c>
      <c r="M114" s="16">
        <v>10.0</v>
      </c>
      <c r="N114" s="16">
        <v>5.0</v>
      </c>
      <c r="O114" s="17">
        <f t="shared" si="12"/>
        <v>510</v>
      </c>
      <c r="P114" s="18">
        <v>59.8</v>
      </c>
      <c r="Q114" s="6">
        <f t="array" ref="Q114">XLOOKUP(K114/1000, '运费（邮政）'!$A$2:$A$21, '运费（邮政）'!$B$2:$B$21, "超出范围", 1)</f>
        <v>1780</v>
      </c>
      <c r="R114" s="18">
        <v>20.0</v>
      </c>
      <c r="S114" s="19">
        <f t="shared" si="2"/>
        <v>10.8027631</v>
      </c>
      <c r="T114" s="20">
        <f t="shared" si="3"/>
        <v>79.8</v>
      </c>
      <c r="U114" s="21">
        <f t="array" ref="U114">XLOOKUP(O114/1000, '运费（橙联）'!$A$2:$A$57, '运费（橙联）'!$B$2:$B$57, "超出范围", 1)</f>
        <v>2222</v>
      </c>
      <c r="V114" s="22">
        <f>(P114*'参数表'!$C$2*(1+'参数表'!$C$3))*$B$1+'参数表'!$C$4</f>
        <v>1091.99236</v>
      </c>
      <c r="W114" s="3">
        <v>0.127</v>
      </c>
      <c r="X114" s="4">
        <v>0.0135</v>
      </c>
      <c r="Y114" s="23">
        <f t="shared" si="4"/>
        <v>791.763742</v>
      </c>
      <c r="Z114" s="24">
        <f t="shared" si="5"/>
        <v>0.0932408194</v>
      </c>
      <c r="AA114" s="25">
        <f t="shared" si="6"/>
        <v>0.2030163441</v>
      </c>
      <c r="AB114" s="23">
        <f t="shared" si="7"/>
        <v>1502.649382</v>
      </c>
      <c r="AC114" s="24">
        <f t="shared" si="8"/>
        <v>0.1326069912</v>
      </c>
      <c r="AD114" s="25">
        <f t="shared" si="9"/>
        <v>0.3852947133</v>
      </c>
      <c r="AE114" s="26">
        <f>P114*(1-I114)*(1+'参数表'!$C$6)*(W114+X114+H114)*1.1+0.4*1.1</f>
        <v>14.224199</v>
      </c>
      <c r="AF114" s="26">
        <f t="shared" si="10"/>
        <v>18.415199</v>
      </c>
    </row>
    <row r="115">
      <c r="A115" s="44" t="s">
        <v>371</v>
      </c>
      <c r="B115" s="44" t="s">
        <v>372</v>
      </c>
      <c r="C115" s="30" t="s">
        <v>373</v>
      </c>
      <c r="D115" s="2" t="s">
        <v>61</v>
      </c>
      <c r="E115" s="14"/>
      <c r="F115" s="14"/>
      <c r="G115" s="34" t="s">
        <v>374</v>
      </c>
      <c r="H115" s="3">
        <v>0.05</v>
      </c>
      <c r="I115" s="3">
        <v>0.0</v>
      </c>
      <c r="J115" s="15">
        <v>2090.0</v>
      </c>
      <c r="K115" s="16">
        <v>410.0</v>
      </c>
      <c r="L115" s="16">
        <v>22.0</v>
      </c>
      <c r="M115" s="16">
        <v>18.0</v>
      </c>
      <c r="N115" s="16">
        <v>8.0</v>
      </c>
      <c r="O115" s="17">
        <f t="shared" si="12"/>
        <v>410</v>
      </c>
      <c r="P115" s="18">
        <v>39.8</v>
      </c>
      <c r="Q115" s="6">
        <f t="array" ref="Q115">XLOOKUP(K115/1000, '运费（邮政）'!$A$2:$A$21, '运费（邮政）'!$B$2:$B$21, "超出范围", 1)</f>
        <v>1600</v>
      </c>
      <c r="R115" s="18">
        <v>15.99</v>
      </c>
      <c r="S115" s="19">
        <f t="shared" si="2"/>
        <v>8.887523662</v>
      </c>
      <c r="T115" s="20">
        <f t="shared" si="3"/>
        <v>55.79</v>
      </c>
      <c r="U115" s="21">
        <f t="array" ref="U115">XLOOKUP(O115/1000, '运费（橙联）'!$A$2:$A$57, '运费（橙联）'!$B$2:$B$57, "超出范围", 1)</f>
        <v>2060</v>
      </c>
      <c r="V115" s="22">
        <f>(P115*'参数表'!$C$2*(1+'参数表'!$C$3))*$B$1+'参数表'!$C$4</f>
        <v>802.02836</v>
      </c>
      <c r="W115" s="3">
        <v>0.127</v>
      </c>
      <c r="X115" s="4">
        <v>0.0135</v>
      </c>
      <c r="Y115" s="23">
        <f t="shared" si="4"/>
        <v>596.397942</v>
      </c>
      <c r="Z115" s="24">
        <f t="shared" si="5"/>
        <v>0.105527274</v>
      </c>
      <c r="AA115" s="25">
        <f t="shared" si="6"/>
        <v>0.285357867</v>
      </c>
      <c r="AB115" s="23">
        <f t="shared" si="7"/>
        <v>1129.149543</v>
      </c>
      <c r="AC115" s="24">
        <f t="shared" si="8"/>
        <v>0.142530155</v>
      </c>
      <c r="AD115" s="25">
        <f t="shared" si="9"/>
        <v>0.5402629392</v>
      </c>
      <c r="AE115" s="26">
        <f>P115*(1-I115)*(1+'参数表'!$C$6)*(W115+X115+H115)*1.1+0.4*1.1</f>
        <v>9.614099</v>
      </c>
      <c r="AF115" s="26">
        <f t="shared" si="10"/>
        <v>12.9648035</v>
      </c>
    </row>
    <row r="116">
      <c r="A116" s="44" t="s">
        <v>375</v>
      </c>
      <c r="B116" s="44" t="s">
        <v>376</v>
      </c>
      <c r="C116" s="30" t="s">
        <v>377</v>
      </c>
      <c r="D116" s="2" t="s">
        <v>61</v>
      </c>
      <c r="E116" s="14"/>
      <c r="F116" s="14"/>
      <c r="G116" s="34" t="s">
        <v>378</v>
      </c>
      <c r="H116" s="3">
        <v>0.05</v>
      </c>
      <c r="I116" s="3">
        <v>0.0</v>
      </c>
      <c r="J116" s="15">
        <v>2090.0</v>
      </c>
      <c r="K116" s="16">
        <v>410.0</v>
      </c>
      <c r="L116" s="16">
        <v>34.0</v>
      </c>
      <c r="M116" s="16">
        <v>24.0</v>
      </c>
      <c r="N116" s="16">
        <v>2.0</v>
      </c>
      <c r="O116" s="17">
        <f t="shared" si="12"/>
        <v>410</v>
      </c>
      <c r="P116" s="18">
        <v>39.8</v>
      </c>
      <c r="Q116" s="6">
        <f t="array" ref="Q116">XLOOKUP(K116/1000, '运费（邮政）'!$A$2:$A$21, '运费（邮政）'!$B$2:$B$21, "超出范围", 1)</f>
        <v>1600</v>
      </c>
      <c r="R116" s="18">
        <v>15.99</v>
      </c>
      <c r="S116" s="19">
        <f t="shared" si="2"/>
        <v>8.887523662</v>
      </c>
      <c r="T116" s="20">
        <f t="shared" si="3"/>
        <v>55.79</v>
      </c>
      <c r="U116" s="21">
        <f t="array" ref="U116">XLOOKUP(O116/1000, '运费（橙联）'!$A$2:$A$57, '运费（橙联）'!$B$2:$B$57, "超出范围", 1)</f>
        <v>2060</v>
      </c>
      <c r="V116" s="22">
        <f>(P116*'参数表'!$C$2*(1+'参数表'!$C$3))*$B$1+'参数表'!$C$4</f>
        <v>802.02836</v>
      </c>
      <c r="W116" s="3">
        <v>0.127</v>
      </c>
      <c r="X116" s="4">
        <v>0.0135</v>
      </c>
      <c r="Y116" s="23">
        <f t="shared" si="4"/>
        <v>596.397942</v>
      </c>
      <c r="Z116" s="24">
        <f t="shared" si="5"/>
        <v>0.105527274</v>
      </c>
      <c r="AA116" s="25">
        <f t="shared" si="6"/>
        <v>0.285357867</v>
      </c>
      <c r="AB116" s="23">
        <f t="shared" si="7"/>
        <v>1129.149543</v>
      </c>
      <c r="AC116" s="24">
        <f t="shared" si="8"/>
        <v>0.142530155</v>
      </c>
      <c r="AD116" s="25">
        <f t="shared" si="9"/>
        <v>0.5402629392</v>
      </c>
      <c r="AE116" s="26">
        <f>P116*(1-I116)*(1+'参数表'!$C$6)*(W116+X116+H116)*1.1+0.4*1.1</f>
        <v>9.614099</v>
      </c>
      <c r="AF116" s="26">
        <f t="shared" si="10"/>
        <v>12.9648035</v>
      </c>
    </row>
    <row r="117">
      <c r="A117" s="44" t="s">
        <v>379</v>
      </c>
      <c r="C117" s="30" t="s">
        <v>380</v>
      </c>
      <c r="D117" s="2" t="s">
        <v>61</v>
      </c>
      <c r="E117" s="14"/>
      <c r="F117" s="14"/>
      <c r="G117" s="34" t="s">
        <v>381</v>
      </c>
      <c r="H117" s="3">
        <v>0.05</v>
      </c>
      <c r="I117" s="3">
        <v>0.0</v>
      </c>
      <c r="J117" s="15">
        <v>1320.0</v>
      </c>
      <c r="K117" s="16">
        <v>110.0</v>
      </c>
      <c r="L117" s="16">
        <v>9.0</v>
      </c>
      <c r="M117" s="16">
        <v>6.0</v>
      </c>
      <c r="N117" s="16">
        <v>14.0</v>
      </c>
      <c r="O117" s="17">
        <f t="shared" si="12"/>
        <v>110</v>
      </c>
      <c r="P117" s="18">
        <v>26.8</v>
      </c>
      <c r="Q117" s="6">
        <f t="array" ref="Q117">XLOOKUP(K117/1000, '运费（邮政）'!$A$2:$A$21, '运费（邮政）'!$B$2:$B$21, "超出范围", 1)</f>
        <v>1060</v>
      </c>
      <c r="R117" s="18">
        <v>9.99</v>
      </c>
      <c r="S117" s="19">
        <f t="shared" si="2"/>
        <v>6.482758873</v>
      </c>
      <c r="T117" s="20">
        <f t="shared" si="3"/>
        <v>36.79</v>
      </c>
      <c r="U117" s="21">
        <f t="array" ref="U117">XLOOKUP(O117/1000, '运费（橙联）'!$A$2:$A$57, '运费（橙联）'!$B$2:$B$57, "超出范围", 1)</f>
        <v>1367</v>
      </c>
      <c r="V117" s="22">
        <f>(P117*'参数表'!$C$2*(1+'参数表'!$C$3))*$B$1+'参数表'!$C$4</f>
        <v>613.55176</v>
      </c>
      <c r="W117" s="3">
        <v>0.127</v>
      </c>
      <c r="X117" s="4">
        <v>0.0135</v>
      </c>
      <c r="Y117" s="23">
        <f t="shared" si="4"/>
        <v>485.910172</v>
      </c>
      <c r="Z117" s="24">
        <f t="shared" si="5"/>
        <v>0.1276829336</v>
      </c>
      <c r="AA117" s="25">
        <f t="shared" si="6"/>
        <v>0.3681137667</v>
      </c>
      <c r="AB117" s="23">
        <f t="shared" si="7"/>
        <v>686.674973</v>
      </c>
      <c r="AC117" s="24">
        <f t="shared" si="8"/>
        <v>0.1314416756</v>
      </c>
      <c r="AD117" s="25">
        <f t="shared" si="9"/>
        <v>0.5202083129</v>
      </c>
      <c r="AE117" s="26">
        <f>P117*(1-I117)*(1+'参数表'!$C$6)*(W117+X117+H117)*1.1+0.4*1.1</f>
        <v>6.617534</v>
      </c>
      <c r="AF117" s="26">
        <f t="shared" si="10"/>
        <v>8.7109385</v>
      </c>
    </row>
    <row r="118">
      <c r="A118" s="44" t="s">
        <v>382</v>
      </c>
      <c r="C118" s="30" t="s">
        <v>383</v>
      </c>
      <c r="D118" s="2" t="s">
        <v>61</v>
      </c>
      <c r="E118" s="14"/>
      <c r="F118" s="14"/>
      <c r="G118" s="34" t="s">
        <v>384</v>
      </c>
      <c r="H118" s="3">
        <v>0.05</v>
      </c>
      <c r="I118" s="3">
        <v>0.0</v>
      </c>
      <c r="J118" s="15">
        <v>1620.0</v>
      </c>
      <c r="K118" s="16">
        <v>260.0</v>
      </c>
      <c r="L118" s="16">
        <v>15.0</v>
      </c>
      <c r="M118" s="16">
        <v>12.0</v>
      </c>
      <c r="N118" s="16">
        <v>5.0</v>
      </c>
      <c r="O118" s="17">
        <f t="shared" si="12"/>
        <v>260</v>
      </c>
      <c r="P118" s="18">
        <v>31.8</v>
      </c>
      <c r="Q118" s="6">
        <f t="array" ref="Q118">XLOOKUP(K118/1000, '运费（邮政）'!$A$2:$A$21, '运费（邮政）'!$B$2:$B$21, "超出范围", 1)</f>
        <v>1240</v>
      </c>
      <c r="R118" s="18">
        <v>12.99</v>
      </c>
      <c r="S118" s="19">
        <f t="shared" si="2"/>
        <v>7.232695493</v>
      </c>
      <c r="T118" s="20">
        <f t="shared" si="3"/>
        <v>44.79</v>
      </c>
      <c r="U118" s="21">
        <f t="array" ref="U118">XLOOKUP(O118/1000, '运费（橙联）'!$A$2:$A$57, '运费（橙联）'!$B$2:$B$57, "超出范围", 1)</f>
        <v>1581</v>
      </c>
      <c r="V118" s="22">
        <f>(P118*'参数表'!$C$2*(1+'参数表'!$C$3))*$B$1+'参数表'!$C$4</f>
        <v>686.04276</v>
      </c>
      <c r="W118" s="3">
        <v>0.127</v>
      </c>
      <c r="X118" s="4">
        <v>0.0135</v>
      </c>
      <c r="Y118" s="23">
        <f t="shared" si="4"/>
        <v>552.251622</v>
      </c>
      <c r="Z118" s="24">
        <f t="shared" si="5"/>
        <v>0.1222986141</v>
      </c>
      <c r="AA118" s="25">
        <f t="shared" si="6"/>
        <v>0.340896063</v>
      </c>
      <c r="AB118" s="23">
        <f t="shared" si="7"/>
        <v>983.257123</v>
      </c>
      <c r="AC118" s="24">
        <f t="shared" si="8"/>
        <v>0.1545958012</v>
      </c>
      <c r="AD118" s="25">
        <f t="shared" si="9"/>
        <v>0.6069488414</v>
      </c>
      <c r="AE118" s="26">
        <f>P118*(1-I118)*(1+'参数表'!$C$6)*(W118+X118+H118)*1.1+0.4*1.1</f>
        <v>7.770059</v>
      </c>
      <c r="AF118" s="26">
        <f t="shared" si="10"/>
        <v>10.4921135</v>
      </c>
    </row>
    <row r="119">
      <c r="A119" s="44" t="s">
        <v>385</v>
      </c>
      <c r="C119" s="30" t="s">
        <v>386</v>
      </c>
      <c r="D119" s="2" t="s">
        <v>61</v>
      </c>
      <c r="E119" s="14"/>
      <c r="F119" s="14"/>
      <c r="G119" s="32"/>
      <c r="H119" s="3">
        <v>0.05</v>
      </c>
      <c r="I119" s="3">
        <v>0.0</v>
      </c>
      <c r="J119" s="15">
        <v>3550.0</v>
      </c>
      <c r="K119" s="16">
        <v>310.0</v>
      </c>
      <c r="L119" s="16">
        <v>8.0</v>
      </c>
      <c r="M119" s="16">
        <v>6.0</v>
      </c>
      <c r="N119" s="16">
        <v>5.0</v>
      </c>
      <c r="O119" s="17">
        <f t="shared" si="12"/>
        <v>310</v>
      </c>
      <c r="P119" s="18">
        <v>57.8</v>
      </c>
      <c r="Q119" s="6">
        <f t="array" ref="Q119">XLOOKUP(K119/1000, '运费（邮政）'!$A$2:$A$21, '运费（邮政）'!$B$2:$B$21, "超出范围", 1)</f>
        <v>1420</v>
      </c>
      <c r="R119" s="18">
        <v>15.99</v>
      </c>
      <c r="S119" s="19">
        <f t="shared" si="2"/>
        <v>10.0070138</v>
      </c>
      <c r="T119" s="20">
        <f t="shared" si="3"/>
        <v>73.79</v>
      </c>
      <c r="U119" s="21">
        <f t="array" ref="U119">XLOOKUP(O119/1000, '运费（橙联）'!$A$2:$A$57, '运费（橙联）'!$B$2:$B$57, "超出范围", 1)</f>
        <v>1778</v>
      </c>
      <c r="V119" s="22">
        <f>(P119*'参数表'!$C$2*(1+'参数表'!$C$3))*$B$1+'参数表'!$C$4</f>
        <v>1062.99596</v>
      </c>
      <c r="W119" s="3">
        <v>0.127</v>
      </c>
      <c r="X119" s="4">
        <v>0.0135</v>
      </c>
      <c r="Y119" s="23">
        <f t="shared" si="4"/>
        <v>1283.227162</v>
      </c>
      <c r="Z119" s="24">
        <f t="shared" si="5"/>
        <v>0.1563462111</v>
      </c>
      <c r="AA119" s="25">
        <f t="shared" si="6"/>
        <v>0.36147244</v>
      </c>
      <c r="AB119" s="23">
        <f t="shared" si="7"/>
        <v>1657.011163</v>
      </c>
      <c r="AC119" s="24">
        <f t="shared" si="8"/>
        <v>0.1581392153</v>
      </c>
      <c r="AD119" s="25">
        <f t="shared" si="9"/>
        <v>0.4667637079</v>
      </c>
      <c r="AE119" s="26">
        <f>P119*(1-I119)*(1+'参数表'!$C$6)*(W119+X119+H119)*1.1+0.4*1.1</f>
        <v>13.763189</v>
      </c>
      <c r="AF119" s="26">
        <f t="shared" si="10"/>
        <v>17.1138935</v>
      </c>
    </row>
    <row r="120">
      <c r="A120" s="44" t="s">
        <v>387</v>
      </c>
      <c r="B120" s="44" t="s">
        <v>388</v>
      </c>
      <c r="C120" s="30" t="s">
        <v>389</v>
      </c>
      <c r="D120" s="2" t="s">
        <v>61</v>
      </c>
      <c r="E120" s="14"/>
      <c r="F120" s="14"/>
      <c r="G120" s="34" t="s">
        <v>390</v>
      </c>
      <c r="H120" s="3">
        <v>0.05</v>
      </c>
      <c r="I120" s="3">
        <v>0.0</v>
      </c>
      <c r="J120" s="15">
        <v>8400.0</v>
      </c>
      <c r="K120" s="16">
        <v>780.0</v>
      </c>
      <c r="L120" s="16">
        <v>26.0</v>
      </c>
      <c r="M120" s="16">
        <v>12.0</v>
      </c>
      <c r="N120" s="16">
        <v>20.0</v>
      </c>
      <c r="O120" s="17">
        <f t="shared" si="12"/>
        <v>780</v>
      </c>
      <c r="P120" s="18">
        <v>158.0</v>
      </c>
      <c r="Q120" s="6">
        <f t="array" ref="Q120">XLOOKUP(K120/1000, '运费（邮政）'!$A$2:$A$21, '运费（邮政）'!$B$2:$B$21, "超出范围", 1)</f>
        <v>2140</v>
      </c>
      <c r="R120" s="18">
        <v>34.99</v>
      </c>
      <c r="S120" s="19">
        <f t="shared" si="2"/>
        <v>21.68109577</v>
      </c>
      <c r="T120" s="20">
        <f t="shared" si="3"/>
        <v>192.99</v>
      </c>
      <c r="U120" s="21">
        <f t="array" ref="U120">XLOOKUP(O120/1000, '运费（橙联）'!$A$2:$A$57, '运费（橙联）'!$B$2:$B$57, "超出范围", 1)</f>
        <v>2703</v>
      </c>
      <c r="V120" s="22">
        <f>(P120*'参数表'!$C$2*(1+'参数表'!$C$3))*$B$1+'参数表'!$C$4</f>
        <v>2515.7156</v>
      </c>
      <c r="W120" s="3">
        <v>0.127</v>
      </c>
      <c r="X120" s="4">
        <v>0.0135</v>
      </c>
      <c r="Y120" s="23">
        <f t="shared" si="4"/>
        <v>6661.90982</v>
      </c>
      <c r="Z120" s="24">
        <f t="shared" si="5"/>
        <v>0.2969294803</v>
      </c>
      <c r="AA120" s="25">
        <f t="shared" si="6"/>
        <v>0.7930845024</v>
      </c>
      <c r="AB120" s="23">
        <f t="shared" si="7"/>
        <v>7510.608281</v>
      </c>
      <c r="AC120" s="24">
        <f t="shared" si="8"/>
        <v>0.2740639806</v>
      </c>
      <c r="AD120" s="25">
        <f t="shared" si="9"/>
        <v>0.8941200335</v>
      </c>
      <c r="AE120" s="26">
        <f>P120*(1-I120)*(1+'参数表'!$C$6)*(W120+X120+H120)*1.1+0.4*1.1</f>
        <v>36.85979</v>
      </c>
      <c r="AF120" s="26">
        <f t="shared" si="10"/>
        <v>44.1919445</v>
      </c>
    </row>
    <row r="121">
      <c r="A121" s="44" t="s">
        <v>391</v>
      </c>
      <c r="B121" s="44" t="s">
        <v>392</v>
      </c>
      <c r="C121" s="30" t="s">
        <v>393</v>
      </c>
      <c r="D121" s="2" t="s">
        <v>61</v>
      </c>
      <c r="E121" s="14"/>
      <c r="F121" s="14"/>
      <c r="G121" s="34" t="s">
        <v>394</v>
      </c>
      <c r="H121" s="3">
        <v>0.05</v>
      </c>
      <c r="I121" s="3">
        <v>0.0</v>
      </c>
      <c r="J121" s="15">
        <v>3500.0</v>
      </c>
      <c r="K121" s="16">
        <v>410.0</v>
      </c>
      <c r="L121" s="16">
        <v>25.0</v>
      </c>
      <c r="M121" s="16">
        <v>16.0</v>
      </c>
      <c r="N121" s="16">
        <v>5.0</v>
      </c>
      <c r="O121" s="17">
        <f t="shared" si="12"/>
        <v>410</v>
      </c>
      <c r="P121" s="18">
        <v>56.8</v>
      </c>
      <c r="Q121" s="6">
        <f t="array" ref="Q121">XLOOKUP(K121/1000, '运费（邮政）'!$A$2:$A$21, '运费（邮政）'!$B$2:$B$21, "超出范围", 1)</f>
        <v>1600</v>
      </c>
      <c r="R121" s="18">
        <v>18.99</v>
      </c>
      <c r="S121" s="19">
        <f t="shared" si="2"/>
        <v>10.62322366</v>
      </c>
      <c r="T121" s="20">
        <f t="shared" si="3"/>
        <v>75.79</v>
      </c>
      <c r="U121" s="21">
        <f t="array" ref="U121">XLOOKUP(O121/1000, '运费（橙联）'!$A$2:$A$57, '运费（橙联）'!$B$2:$B$57, "超出范围", 1)</f>
        <v>2060</v>
      </c>
      <c r="V121" s="22">
        <f>(P121*'参数表'!$C$2*(1+'参数表'!$C$3))*$B$1+'参数表'!$C$4</f>
        <v>1048.49776</v>
      </c>
      <c r="W121" s="3">
        <v>0.127</v>
      </c>
      <c r="X121" s="4">
        <v>0.0135</v>
      </c>
      <c r="Y121" s="23">
        <f t="shared" si="4"/>
        <v>1043.958872</v>
      </c>
      <c r="Z121" s="24">
        <f t="shared" si="5"/>
        <v>0.1294335043</v>
      </c>
      <c r="AA121" s="25">
        <f t="shared" si="6"/>
        <v>0.2982739634</v>
      </c>
      <c r="AB121" s="23">
        <f t="shared" si="7"/>
        <v>1666.972773</v>
      </c>
      <c r="AC121" s="24">
        <f t="shared" si="8"/>
        <v>0.1548917388</v>
      </c>
      <c r="AD121" s="25">
        <f t="shared" si="9"/>
        <v>0.4762779351</v>
      </c>
      <c r="AE121" s="26">
        <f>P121*(1-I121)*(1+'参数表'!$C$6)*(W121+X121+H121)*1.1+0.4*1.1</f>
        <v>13.532684</v>
      </c>
      <c r="AF121" s="26">
        <f t="shared" si="10"/>
        <v>17.5120385</v>
      </c>
    </row>
    <row r="122">
      <c r="A122" s="44" t="s">
        <v>395</v>
      </c>
      <c r="C122" s="30" t="s">
        <v>396</v>
      </c>
      <c r="D122" s="2" t="s">
        <v>61</v>
      </c>
      <c r="E122" s="14"/>
      <c r="F122" s="14"/>
      <c r="G122" s="34" t="s">
        <v>397</v>
      </c>
      <c r="H122" s="3">
        <v>0.05</v>
      </c>
      <c r="I122" s="3">
        <v>0.0</v>
      </c>
      <c r="J122" s="15">
        <v>13362.0</v>
      </c>
      <c r="K122" s="16">
        <v>1280.0</v>
      </c>
      <c r="L122" s="16">
        <v>3.0</v>
      </c>
      <c r="M122" s="16">
        <v>33.0</v>
      </c>
      <c r="N122" s="16">
        <v>16.0</v>
      </c>
      <c r="O122" s="17">
        <f t="shared" si="12"/>
        <v>1280</v>
      </c>
      <c r="P122" s="18">
        <v>195.0</v>
      </c>
      <c r="Q122" s="6">
        <f t="array" ref="Q122">XLOOKUP(K122/1000, '运费（邮政）'!$A$2:$A$21, '运费（邮政）'!$B$2:$B$21, "超出范围", 1)</f>
        <v>3040</v>
      </c>
      <c r="R122" s="18">
        <v>39.99</v>
      </c>
      <c r="S122" s="19">
        <f t="shared" si="2"/>
        <v>23.78978169</v>
      </c>
      <c r="T122" s="20">
        <f t="shared" si="3"/>
        <v>234.99</v>
      </c>
      <c r="U122" s="21">
        <f t="array" ref="U122">XLOOKUP(O122/1000, '运费（橙联）'!$A$2:$A$57, '运费（橙联）'!$B$2:$B$57, "超出范围", 1)</f>
        <v>3366</v>
      </c>
      <c r="V122" s="22">
        <f>(P122*'参数表'!$C$2*(1+'参数表'!$C$3))*$B$1+'参数表'!$C$4</f>
        <v>3052.149</v>
      </c>
      <c r="W122" s="3">
        <v>0.127</v>
      </c>
      <c r="X122" s="4">
        <v>0.0135</v>
      </c>
      <c r="Y122" s="23">
        <f t="shared" si="4"/>
        <v>4842.83655</v>
      </c>
      <c r="Z122" s="24">
        <f t="shared" si="5"/>
        <v>0.1748947833</v>
      </c>
      <c r="AA122" s="25">
        <f t="shared" si="6"/>
        <v>0.3624335092</v>
      </c>
      <c r="AB122" s="23">
        <f t="shared" si="7"/>
        <v>5953.321111</v>
      </c>
      <c r="AC122" s="24">
        <f t="shared" si="8"/>
        <v>0.1784109816</v>
      </c>
      <c r="AD122" s="25">
        <f t="shared" si="9"/>
        <v>0.4455411698</v>
      </c>
      <c r="AE122" s="26">
        <f>P122*(1-I122)*(1+'参数表'!$C$6)*(W122+X122+H122)*1.1+0.4*1.1</f>
        <v>45.388475</v>
      </c>
      <c r="AF122" s="26">
        <f t="shared" si="10"/>
        <v>53.7683795</v>
      </c>
    </row>
    <row r="123">
      <c r="A123" s="44" t="s">
        <v>398</v>
      </c>
      <c r="C123" s="30" t="s">
        <v>399</v>
      </c>
      <c r="D123" s="2" t="s">
        <v>61</v>
      </c>
      <c r="E123" s="14"/>
      <c r="F123" s="14"/>
      <c r="G123" s="13"/>
      <c r="H123" s="3">
        <v>0.05</v>
      </c>
      <c r="I123" s="3">
        <v>0.0</v>
      </c>
      <c r="J123" s="15">
        <v>4400.0</v>
      </c>
      <c r="K123" s="16">
        <v>210.0</v>
      </c>
      <c r="L123" s="16">
        <v>14.0</v>
      </c>
      <c r="M123" s="16">
        <v>2.0</v>
      </c>
      <c r="N123" s="16">
        <v>2.0</v>
      </c>
      <c r="O123" s="17">
        <f t="shared" si="12"/>
        <v>210</v>
      </c>
      <c r="P123" s="18">
        <v>62.8</v>
      </c>
      <c r="Q123" s="6">
        <f t="array" ref="Q123">XLOOKUP(K123/1000, '运费（邮政）'!$A$2:$A$21, '运费（邮政）'!$B$2:$B$21, "超出范围", 1)</f>
        <v>1240</v>
      </c>
      <c r="R123" s="18">
        <v>18.99</v>
      </c>
      <c r="S123" s="19">
        <f t="shared" si="2"/>
        <v>10.39779549</v>
      </c>
      <c r="T123" s="20">
        <f t="shared" si="3"/>
        <v>81.79</v>
      </c>
      <c r="U123" s="21">
        <f t="array" ref="U123">XLOOKUP(O123/1000, '运费（橙联）'!$A$2:$A$57, '运费（橙联）'!$B$2:$B$57, "超出范围", 1)</f>
        <v>1581</v>
      </c>
      <c r="V123" s="22">
        <f>(P123*'参数表'!$C$2*(1+'参数表'!$C$3))*$B$1+'参数表'!$C$4</f>
        <v>1135.48696</v>
      </c>
      <c r="W123" s="3">
        <v>0.127</v>
      </c>
      <c r="X123" s="4">
        <v>0.0135</v>
      </c>
      <c r="Y123" s="23">
        <f t="shared" si="4"/>
        <v>1159.568612</v>
      </c>
      <c r="Z123" s="24">
        <f t="shared" si="5"/>
        <v>0.1300314672</v>
      </c>
      <c r="AA123" s="25">
        <f t="shared" si="6"/>
        <v>0.2635383209</v>
      </c>
      <c r="AB123" s="23">
        <f t="shared" si="7"/>
        <v>1814.593313</v>
      </c>
      <c r="AC123" s="24">
        <f t="shared" si="8"/>
        <v>0.1562394687</v>
      </c>
      <c r="AD123" s="25">
        <f t="shared" si="9"/>
        <v>0.4124075711</v>
      </c>
      <c r="AE123" s="26">
        <f>P123*(1-I123)*(1+'参数表'!$C$6)*(W123+X123+H123)*1.1+0.4*1.1</f>
        <v>14.915714</v>
      </c>
      <c r="AF123" s="26">
        <f t="shared" si="10"/>
        <v>18.8950685</v>
      </c>
    </row>
    <row r="124">
      <c r="A124" s="44" t="s">
        <v>400</v>
      </c>
      <c r="C124" s="30" t="s">
        <v>401</v>
      </c>
      <c r="D124" s="2" t="s">
        <v>61</v>
      </c>
      <c r="E124" s="14"/>
      <c r="F124" s="14"/>
      <c r="G124" s="32"/>
      <c r="H124" s="3">
        <v>0.05</v>
      </c>
      <c r="I124" s="3">
        <v>0.0</v>
      </c>
      <c r="J124" s="15">
        <v>4400.0</v>
      </c>
      <c r="K124" s="16">
        <v>210.0</v>
      </c>
      <c r="L124" s="16">
        <v>14.0</v>
      </c>
      <c r="M124" s="16">
        <v>2.0</v>
      </c>
      <c r="N124" s="16">
        <v>2.0</v>
      </c>
      <c r="O124" s="17">
        <f t="shared" si="12"/>
        <v>210</v>
      </c>
      <c r="P124" s="18">
        <v>62.8</v>
      </c>
      <c r="Q124" s="6">
        <f t="array" ref="Q124">XLOOKUP(K124/1000, '运费（邮政）'!$A$2:$A$21, '运费（邮政）'!$B$2:$B$21, "超出范围", 1)</f>
        <v>1240</v>
      </c>
      <c r="R124" s="18">
        <v>18.99</v>
      </c>
      <c r="S124" s="19">
        <f t="shared" si="2"/>
        <v>10.39779549</v>
      </c>
      <c r="T124" s="20">
        <f t="shared" si="3"/>
        <v>81.79</v>
      </c>
      <c r="U124" s="21">
        <f t="array" ref="U124">XLOOKUP(O124/1000, '运费（橙联）'!$A$2:$A$57, '运费（橙联）'!$B$2:$B$57, "超出范围", 1)</f>
        <v>1581</v>
      </c>
      <c r="V124" s="22">
        <f>(P124*'参数表'!$C$2*(1+'参数表'!$C$3))*$B$1+'参数表'!$C$4</f>
        <v>1135.48696</v>
      </c>
      <c r="W124" s="3">
        <v>0.127</v>
      </c>
      <c r="X124" s="4">
        <v>0.0135</v>
      </c>
      <c r="Y124" s="23">
        <f t="shared" si="4"/>
        <v>1159.568612</v>
      </c>
      <c r="Z124" s="24">
        <f t="shared" si="5"/>
        <v>0.1300314672</v>
      </c>
      <c r="AA124" s="25">
        <f t="shared" si="6"/>
        <v>0.2635383209</v>
      </c>
      <c r="AB124" s="23">
        <f t="shared" si="7"/>
        <v>1814.593313</v>
      </c>
      <c r="AC124" s="24">
        <f t="shared" si="8"/>
        <v>0.1562394687</v>
      </c>
      <c r="AD124" s="25">
        <f t="shared" si="9"/>
        <v>0.4124075711</v>
      </c>
      <c r="AE124" s="26">
        <f>P124*(1-I124)*(1+'参数表'!$C$6)*(W124+X124+H124)*1.1+0.4*1.1</f>
        <v>14.915714</v>
      </c>
      <c r="AF124" s="26">
        <f t="shared" si="10"/>
        <v>18.8950685</v>
      </c>
    </row>
    <row r="125">
      <c r="A125" s="44" t="s">
        <v>402</v>
      </c>
      <c r="C125" s="30" t="s">
        <v>403</v>
      </c>
      <c r="D125" s="2" t="s">
        <v>61</v>
      </c>
      <c r="E125" s="14"/>
      <c r="F125" s="14"/>
      <c r="G125" s="32"/>
      <c r="H125" s="3">
        <v>0.05</v>
      </c>
      <c r="I125" s="3">
        <v>0.0</v>
      </c>
      <c r="J125" s="15">
        <v>5940.0</v>
      </c>
      <c r="K125" s="16">
        <v>210.0</v>
      </c>
      <c r="L125" s="16">
        <v>15.0</v>
      </c>
      <c r="M125" s="16">
        <v>1.5</v>
      </c>
      <c r="N125" s="16">
        <v>2.0</v>
      </c>
      <c r="O125" s="17">
        <f t="shared" si="12"/>
        <v>210</v>
      </c>
      <c r="P125" s="18">
        <v>84.8</v>
      </c>
      <c r="Q125" s="6">
        <f t="array" ref="Q125">XLOOKUP(K125/1000, '运费（邮政）'!$A$2:$A$21, '运费（邮政）'!$B$2:$B$21, "超出范围", 1)</f>
        <v>1240</v>
      </c>
      <c r="R125" s="18">
        <v>21.99</v>
      </c>
      <c r="S125" s="19">
        <f t="shared" si="2"/>
        <v>12.64399549</v>
      </c>
      <c r="T125" s="20">
        <f t="shared" si="3"/>
        <v>106.79</v>
      </c>
      <c r="U125" s="21">
        <f t="array" ref="U125">XLOOKUP(O125/1000, '运费（橙联）'!$A$2:$A$57, '运费（橙联）'!$B$2:$B$57, "超出范围", 1)</f>
        <v>1581</v>
      </c>
      <c r="V125" s="22">
        <f>(P125*'参数表'!$C$2*(1+'参数表'!$C$3))*$B$1+'参数表'!$C$4</f>
        <v>1454.44736</v>
      </c>
      <c r="W125" s="3">
        <v>0.127</v>
      </c>
      <c r="X125" s="4">
        <v>0.0135</v>
      </c>
      <c r="Y125" s="23">
        <f t="shared" si="4"/>
        <v>2023.470992</v>
      </c>
      <c r="Z125" s="24">
        <f t="shared" si="5"/>
        <v>0.1680400438</v>
      </c>
      <c r="AA125" s="25">
        <f t="shared" si="6"/>
        <v>0.3406516822</v>
      </c>
      <c r="AB125" s="23">
        <f t="shared" si="7"/>
        <v>2696.266993</v>
      </c>
      <c r="AC125" s="24">
        <f t="shared" si="8"/>
        <v>0.1778049979</v>
      </c>
      <c r="AD125" s="25">
        <f t="shared" si="9"/>
        <v>0.4539170022</v>
      </c>
      <c r="AE125" s="26">
        <f>P125*(1-I125)*(1+'参数表'!$C$6)*(W125+X125+H125)*1.1+0.4*1.1</f>
        <v>19.986824</v>
      </c>
      <c r="AF125" s="26">
        <f t="shared" si="10"/>
        <v>24.5948285</v>
      </c>
    </row>
    <row r="126">
      <c r="A126" s="44" t="s">
        <v>404</v>
      </c>
      <c r="C126" s="30" t="s">
        <v>405</v>
      </c>
      <c r="D126" s="2" t="s">
        <v>61</v>
      </c>
      <c r="E126" s="14"/>
      <c r="F126" s="14"/>
      <c r="G126" s="32"/>
      <c r="H126" s="3">
        <v>0.05</v>
      </c>
      <c r="I126" s="3">
        <v>0.0</v>
      </c>
      <c r="J126" s="15">
        <v>7920.0</v>
      </c>
      <c r="K126" s="16">
        <v>210.0</v>
      </c>
      <c r="L126" s="16">
        <v>15.0</v>
      </c>
      <c r="M126" s="16">
        <v>1.5</v>
      </c>
      <c r="N126" s="16">
        <v>2.0</v>
      </c>
      <c r="O126" s="17">
        <f t="shared" si="12"/>
        <v>210</v>
      </c>
      <c r="P126" s="18">
        <v>118.0</v>
      </c>
      <c r="Q126" s="6">
        <f t="array" ref="Q126">XLOOKUP(K126/1000, '运费（邮政）'!$A$2:$A$21, '运费（邮政）'!$B$2:$B$21, "超出范围", 1)</f>
        <v>1240</v>
      </c>
      <c r="R126" s="18">
        <v>24.99</v>
      </c>
      <c r="S126" s="19">
        <f t="shared" si="2"/>
        <v>16.03371549</v>
      </c>
      <c r="T126" s="20">
        <f t="shared" si="3"/>
        <v>142.99</v>
      </c>
      <c r="U126" s="21">
        <f t="array" ref="U126">XLOOKUP(O126/1000, '运费（橙联）'!$A$2:$A$57, '运费（橙联）'!$B$2:$B$57, "超出范围", 1)</f>
        <v>1581</v>
      </c>
      <c r="V126" s="22">
        <f>(P126*'参数表'!$C$2*(1+'参数表'!$C$3))*$B$1+'参数表'!$C$4</f>
        <v>1935.7876</v>
      </c>
      <c r="W126" s="3">
        <v>0.127</v>
      </c>
      <c r="X126" s="4">
        <v>0.0135</v>
      </c>
      <c r="Y126" s="23">
        <f t="shared" si="4"/>
        <v>3671.17822</v>
      </c>
      <c r="Z126" s="24">
        <f t="shared" si="5"/>
        <v>0.2190963368</v>
      </c>
      <c r="AA126" s="25">
        <f t="shared" si="6"/>
        <v>0.4635326035</v>
      </c>
      <c r="AB126" s="23">
        <f t="shared" si="7"/>
        <v>4199.365681</v>
      </c>
      <c r="AC126" s="24">
        <f t="shared" si="8"/>
        <v>0.2068186429</v>
      </c>
      <c r="AD126" s="25">
        <f t="shared" si="9"/>
        <v>0.5302229395</v>
      </c>
      <c r="AE126" s="26">
        <f>P126*(1-I126)*(1+'参数表'!$C$6)*(W126+X126+H126)*1.1+0.4*1.1</f>
        <v>27.63959</v>
      </c>
      <c r="AF126" s="26">
        <f t="shared" si="10"/>
        <v>32.8762445</v>
      </c>
    </row>
    <row r="127">
      <c r="A127" s="44" t="s">
        <v>406</v>
      </c>
      <c r="C127" s="30" t="s">
        <v>407</v>
      </c>
      <c r="D127" s="2" t="s">
        <v>61</v>
      </c>
      <c r="E127" s="14"/>
      <c r="F127" s="14"/>
      <c r="G127" s="32"/>
      <c r="H127" s="3">
        <v>0.05</v>
      </c>
      <c r="I127" s="3">
        <v>0.0</v>
      </c>
      <c r="J127" s="15">
        <v>5940.0</v>
      </c>
      <c r="K127" s="16">
        <v>210.0</v>
      </c>
      <c r="L127" s="16">
        <v>15.0</v>
      </c>
      <c r="M127" s="16">
        <v>1.5</v>
      </c>
      <c r="N127" s="16">
        <v>2.0</v>
      </c>
      <c r="O127" s="17">
        <f t="shared" si="12"/>
        <v>210</v>
      </c>
      <c r="P127" s="18">
        <v>84.8</v>
      </c>
      <c r="Q127" s="6">
        <f t="array" ref="Q127">XLOOKUP(K127/1000, '运费（邮政）'!$A$2:$A$21, '运费（邮政）'!$B$2:$B$21, "超出范围", 1)</f>
        <v>1240</v>
      </c>
      <c r="R127" s="18">
        <v>21.99</v>
      </c>
      <c r="S127" s="19">
        <f t="shared" si="2"/>
        <v>12.64399549</v>
      </c>
      <c r="T127" s="20">
        <f t="shared" si="3"/>
        <v>106.79</v>
      </c>
      <c r="U127" s="21">
        <f t="array" ref="U127">XLOOKUP(O127/1000, '运费（橙联）'!$A$2:$A$57, '运费（橙联）'!$B$2:$B$57, "超出范围", 1)</f>
        <v>1581</v>
      </c>
      <c r="V127" s="22">
        <f>(P127*'参数表'!$C$2*(1+'参数表'!$C$3))*$B$1+'参数表'!$C$4</f>
        <v>1454.44736</v>
      </c>
      <c r="W127" s="3">
        <v>0.127</v>
      </c>
      <c r="X127" s="4">
        <v>0.0135</v>
      </c>
      <c r="Y127" s="23">
        <f t="shared" si="4"/>
        <v>2023.470992</v>
      </c>
      <c r="Z127" s="24">
        <f t="shared" si="5"/>
        <v>0.1680400438</v>
      </c>
      <c r="AA127" s="25">
        <f t="shared" si="6"/>
        <v>0.3406516822</v>
      </c>
      <c r="AB127" s="23">
        <f t="shared" si="7"/>
        <v>2696.266993</v>
      </c>
      <c r="AC127" s="24">
        <f t="shared" si="8"/>
        <v>0.1778049979</v>
      </c>
      <c r="AD127" s="25">
        <f t="shared" si="9"/>
        <v>0.4539170022</v>
      </c>
      <c r="AE127" s="26">
        <f>P127*(1-I127)*(1+'参数表'!$C$6)*(W127+X127+H127)*1.1+0.4*1.1</f>
        <v>19.986824</v>
      </c>
      <c r="AF127" s="26">
        <f t="shared" si="10"/>
        <v>24.5948285</v>
      </c>
    </row>
    <row r="128">
      <c r="A128" s="44" t="s">
        <v>408</v>
      </c>
      <c r="C128" s="30" t="s">
        <v>409</v>
      </c>
      <c r="D128" s="2" t="s">
        <v>61</v>
      </c>
      <c r="E128" s="14"/>
      <c r="F128" s="14"/>
      <c r="G128" s="32"/>
      <c r="H128" s="3">
        <v>0.05</v>
      </c>
      <c r="I128" s="3">
        <v>0.0</v>
      </c>
      <c r="J128" s="15">
        <v>5940.0</v>
      </c>
      <c r="K128" s="16">
        <v>210.0</v>
      </c>
      <c r="L128" s="16">
        <v>15.0</v>
      </c>
      <c r="M128" s="16">
        <v>1.5</v>
      </c>
      <c r="N128" s="16">
        <v>2.0</v>
      </c>
      <c r="O128" s="17">
        <f t="shared" si="12"/>
        <v>210</v>
      </c>
      <c r="P128" s="18">
        <v>84.8</v>
      </c>
      <c r="Q128" s="6">
        <f t="array" ref="Q128">XLOOKUP(K128/1000, '运费（邮政）'!$A$2:$A$21, '运费（邮政）'!$B$2:$B$21, "超出范围", 1)</f>
        <v>1240</v>
      </c>
      <c r="R128" s="18">
        <v>21.99</v>
      </c>
      <c r="S128" s="19">
        <f t="shared" si="2"/>
        <v>12.64399549</v>
      </c>
      <c r="T128" s="20">
        <f t="shared" si="3"/>
        <v>106.79</v>
      </c>
      <c r="U128" s="21">
        <f t="array" ref="U128">XLOOKUP(O128/1000, '运费（橙联）'!$A$2:$A$57, '运费（橙联）'!$B$2:$B$57, "超出范围", 1)</f>
        <v>1581</v>
      </c>
      <c r="V128" s="22">
        <f>(P128*'参数表'!$C$2*(1+'参数表'!$C$3))*$B$1+'参数表'!$C$4</f>
        <v>1454.44736</v>
      </c>
      <c r="W128" s="3">
        <v>0.127</v>
      </c>
      <c r="X128" s="4">
        <v>0.0135</v>
      </c>
      <c r="Y128" s="23">
        <f t="shared" si="4"/>
        <v>2023.470992</v>
      </c>
      <c r="Z128" s="24">
        <f t="shared" si="5"/>
        <v>0.1680400438</v>
      </c>
      <c r="AA128" s="25">
        <f t="shared" si="6"/>
        <v>0.3406516822</v>
      </c>
      <c r="AB128" s="23">
        <f t="shared" si="7"/>
        <v>2696.266993</v>
      </c>
      <c r="AC128" s="24">
        <f t="shared" si="8"/>
        <v>0.1778049979</v>
      </c>
      <c r="AD128" s="25">
        <f t="shared" si="9"/>
        <v>0.4539170022</v>
      </c>
      <c r="AE128" s="26">
        <f>P128*(1-I128)*(1+'参数表'!$C$6)*(W128+X128+H128)*1.1+0.4*1.1</f>
        <v>19.986824</v>
      </c>
      <c r="AF128" s="26">
        <f t="shared" si="10"/>
        <v>24.5948285</v>
      </c>
    </row>
    <row r="129">
      <c r="A129" s="44" t="s">
        <v>410</v>
      </c>
      <c r="C129" s="30" t="s">
        <v>411</v>
      </c>
      <c r="D129" s="2" t="s">
        <v>61</v>
      </c>
      <c r="E129" s="14"/>
      <c r="F129" s="14"/>
      <c r="G129" s="34" t="s">
        <v>412</v>
      </c>
      <c r="H129" s="3">
        <v>0.05</v>
      </c>
      <c r="I129" s="3">
        <v>0.0</v>
      </c>
      <c r="J129" s="15">
        <v>1063.0</v>
      </c>
      <c r="K129" s="16">
        <v>80.0</v>
      </c>
      <c r="L129" s="16">
        <v>15.0</v>
      </c>
      <c r="M129" s="16">
        <v>2.0</v>
      </c>
      <c r="N129" s="16">
        <v>2.0</v>
      </c>
      <c r="O129" s="17">
        <f t="shared" si="12"/>
        <v>80</v>
      </c>
      <c r="P129" s="18">
        <v>21.8</v>
      </c>
      <c r="Q129" s="6">
        <f t="array" ref="Q129">XLOOKUP(K129/1000, '运费（邮政）'!$A$2:$A$21, '运费（邮政）'!$B$2:$B$21, "超出范围", 1)</f>
        <v>880</v>
      </c>
      <c r="R129" s="18">
        <v>9.99</v>
      </c>
      <c r="S129" s="19">
        <f t="shared" si="2"/>
        <v>6.253949014</v>
      </c>
      <c r="T129" s="20">
        <f t="shared" si="3"/>
        <v>31.79</v>
      </c>
      <c r="U129" s="21">
        <f t="array" ref="U129">XLOOKUP(O129/1000, '运费（橙联）'!$A$2:$A$57, '运费（橙联）'!$B$2:$B$57, "超出范围", 1)</f>
        <v>1227</v>
      </c>
      <c r="V129" s="22">
        <f>(P129*'参数表'!$C$2*(1+'参数表'!$C$3))*$B$1+'参数表'!$C$4</f>
        <v>541.06076</v>
      </c>
      <c r="W129" s="3">
        <v>0.127</v>
      </c>
      <c r="X129" s="4">
        <v>0.0135</v>
      </c>
      <c r="Y129" s="23">
        <f t="shared" si="4"/>
        <v>376.568722</v>
      </c>
      <c r="Z129" s="24">
        <f t="shared" si="5"/>
        <v>0.1216464408</v>
      </c>
      <c r="AA129" s="25">
        <f t="shared" si="6"/>
        <v>0.3542509144</v>
      </c>
      <c r="AB129" s="23">
        <f t="shared" si="7"/>
        <v>609.824523</v>
      </c>
      <c r="AC129" s="24">
        <f t="shared" si="8"/>
        <v>0.1350908743</v>
      </c>
      <c r="AD129" s="25">
        <f t="shared" si="9"/>
        <v>0.573682524</v>
      </c>
      <c r="AE129" s="26">
        <f>P129*(1-I129)*(1+'参数表'!$C$6)*(W129+X129+H129)*1.1+0.4*1.1</f>
        <v>5.465009</v>
      </c>
      <c r="AF129" s="26">
        <f t="shared" si="10"/>
        <v>7.5584135</v>
      </c>
    </row>
    <row r="130">
      <c r="A130" s="44" t="s">
        <v>413</v>
      </c>
      <c r="C130" s="30" t="s">
        <v>414</v>
      </c>
      <c r="D130" s="2" t="s">
        <v>54</v>
      </c>
      <c r="E130" s="14"/>
      <c r="F130" s="14"/>
      <c r="G130" s="13"/>
      <c r="H130" s="3">
        <v>0.05</v>
      </c>
      <c r="I130" s="3">
        <v>0.0</v>
      </c>
      <c r="J130" s="15">
        <v>960.0</v>
      </c>
      <c r="K130" s="16">
        <v>120.0</v>
      </c>
      <c r="L130" s="16">
        <v>34.0</v>
      </c>
      <c r="M130" s="16">
        <v>24.0</v>
      </c>
      <c r="N130" s="16">
        <v>2.0</v>
      </c>
      <c r="O130" s="17">
        <f t="shared" si="12"/>
        <v>204</v>
      </c>
      <c r="P130" s="18">
        <v>21.8</v>
      </c>
      <c r="Q130" s="6">
        <f t="array" ref="Q130">XLOOKUP(K130/1000, '运费（邮政）'!$A$2:$A$21, '运费（邮政）'!$B$2:$B$21, "超出范围", 1)</f>
        <v>1060</v>
      </c>
      <c r="R130" s="18">
        <v>12.99</v>
      </c>
      <c r="S130" s="19">
        <f t="shared" si="2"/>
        <v>7.479301127</v>
      </c>
      <c r="T130" s="20">
        <f t="shared" si="3"/>
        <v>34.79</v>
      </c>
      <c r="U130" s="21">
        <f t="array" ref="U130">XLOOKUP(O130/1000, '运费（橙联）'!$A$2:$A$57, '运费（橙联）'!$B$2:$B$57, "超出范围", 1)</f>
        <v>1581</v>
      </c>
      <c r="V130" s="22">
        <f>(P130*'参数表'!$C$2*(1+'参数表'!$C$3))*$B$1+'参数表'!$C$4</f>
        <v>541.06076</v>
      </c>
      <c r="W130" s="3">
        <v>0.127</v>
      </c>
      <c r="X130" s="4">
        <v>0.0135</v>
      </c>
      <c r="Y130" s="23">
        <f t="shared" si="4"/>
        <v>299.568722</v>
      </c>
      <c r="Z130" s="24">
        <f t="shared" si="5"/>
        <v>0.09677242602</v>
      </c>
      <c r="AA130" s="25">
        <f t="shared" si="6"/>
        <v>0.3120507521</v>
      </c>
      <c r="AB130" s="23">
        <f t="shared" si="7"/>
        <v>695.556223</v>
      </c>
      <c r="AC130" s="24">
        <f t="shared" si="8"/>
        <v>0.1407957246</v>
      </c>
      <c r="AD130" s="25">
        <f t="shared" si="9"/>
        <v>0.7245377323</v>
      </c>
      <c r="AE130" s="26">
        <f>P130*(1-I130)*(1+'参数表'!$C$6)*(W130+X130+H130)*1.1+0.4*1.1</f>
        <v>5.465009</v>
      </c>
      <c r="AF130" s="26">
        <f t="shared" si="10"/>
        <v>8.1870635</v>
      </c>
    </row>
    <row r="131">
      <c r="A131" s="44" t="s">
        <v>415</v>
      </c>
      <c r="C131" s="30" t="s">
        <v>416</v>
      </c>
      <c r="D131" s="2" t="s">
        <v>61</v>
      </c>
      <c r="E131" s="14"/>
      <c r="F131" s="14"/>
      <c r="G131" s="13" t="s">
        <v>417</v>
      </c>
      <c r="H131" s="3">
        <v>0.05</v>
      </c>
      <c r="I131" s="3">
        <v>0.0</v>
      </c>
      <c r="J131" s="15">
        <v>3300.0</v>
      </c>
      <c r="K131" s="16">
        <v>210.0</v>
      </c>
      <c r="L131" s="16">
        <v>19.0</v>
      </c>
      <c r="M131" s="16">
        <v>3.0</v>
      </c>
      <c r="N131" s="16">
        <v>12.0</v>
      </c>
      <c r="O131" s="17">
        <f t="shared" si="12"/>
        <v>210</v>
      </c>
      <c r="P131" s="18">
        <v>52.8</v>
      </c>
      <c r="Q131" s="6">
        <f t="array" ref="Q131">XLOOKUP(K131/1000, '运费（邮政）'!$A$2:$A$21, '运费（邮政）'!$B$2:$B$21, "超出范围", 1)</f>
        <v>1240</v>
      </c>
      <c r="R131" s="18">
        <v>15.99</v>
      </c>
      <c r="S131" s="19">
        <f t="shared" si="2"/>
        <v>9.376795493</v>
      </c>
      <c r="T131" s="20">
        <f t="shared" si="3"/>
        <v>68.79</v>
      </c>
      <c r="U131" s="21">
        <f t="array" ref="U131">XLOOKUP(O131/1000, '运费（橙联）'!$A$2:$A$57, '运费（橙联）'!$B$2:$B$57, "超出范围", 1)</f>
        <v>1581</v>
      </c>
      <c r="V131" s="22">
        <f>(P131*'参数表'!$C$2*(1+'参数表'!$C$3))*$B$1+'参数表'!$C$4</f>
        <v>990.50496</v>
      </c>
      <c r="W131" s="3">
        <v>0.127</v>
      </c>
      <c r="X131" s="4">
        <v>0.0135</v>
      </c>
      <c r="Y131" s="23">
        <f t="shared" si="4"/>
        <v>1166.885712</v>
      </c>
      <c r="Z131" s="24">
        <f t="shared" si="5"/>
        <v>0.1556345647</v>
      </c>
      <c r="AA131" s="25">
        <f t="shared" si="6"/>
        <v>0.3536017309</v>
      </c>
      <c r="AB131" s="23">
        <f t="shared" si="7"/>
        <v>1630.160713</v>
      </c>
      <c r="AC131" s="24">
        <f t="shared" si="8"/>
        <v>0.1668847946</v>
      </c>
      <c r="AD131" s="25">
        <f t="shared" si="9"/>
        <v>0.4939880948</v>
      </c>
      <c r="AE131" s="26">
        <f>P131*(1-I131)*(1+'参数表'!$C$6)*(W131+X131+H131)*1.1+0.4*1.1</f>
        <v>12.610664</v>
      </c>
      <c r="AF131" s="26">
        <f t="shared" si="10"/>
        <v>15.9613685</v>
      </c>
    </row>
    <row r="132">
      <c r="A132" s="44" t="s">
        <v>418</v>
      </c>
      <c r="C132" s="30" t="s">
        <v>419</v>
      </c>
      <c r="D132" s="2" t="s">
        <v>61</v>
      </c>
      <c r="E132" s="14"/>
      <c r="F132" s="14"/>
      <c r="G132" s="13" t="s">
        <v>420</v>
      </c>
      <c r="H132" s="3">
        <v>0.05</v>
      </c>
      <c r="I132" s="3">
        <v>0.0</v>
      </c>
      <c r="J132" s="15">
        <v>1925.0</v>
      </c>
      <c r="K132" s="16">
        <v>180.0</v>
      </c>
      <c r="L132" s="16">
        <v>13.0</v>
      </c>
      <c r="M132" s="16">
        <v>2.0</v>
      </c>
      <c r="N132" s="16">
        <v>12.0</v>
      </c>
      <c r="O132" s="17">
        <f t="shared" si="12"/>
        <v>180</v>
      </c>
      <c r="P132" s="18">
        <v>33.8</v>
      </c>
      <c r="Q132" s="6">
        <f t="array" ref="Q132">XLOOKUP(K132/1000, '运费（邮政）'!$A$2:$A$21, '运费（邮政）'!$B$2:$B$21, "超出范围", 1)</f>
        <v>1060</v>
      </c>
      <c r="R132" s="18">
        <v>12.99</v>
      </c>
      <c r="S132" s="19">
        <f t="shared" si="2"/>
        <v>7.197458873</v>
      </c>
      <c r="T132" s="20">
        <f t="shared" si="3"/>
        <v>46.79</v>
      </c>
      <c r="U132" s="21">
        <f t="array" ref="U132">XLOOKUP(O132/1000, '运费（橙联）'!$A$2:$A$57, '运费（橙联）'!$B$2:$B$57, "超出范围", 1)</f>
        <v>1367</v>
      </c>
      <c r="V132" s="22">
        <f>(P132*'参数表'!$C$2*(1+'参数表'!$C$3))*$B$1+'参数表'!$C$4</f>
        <v>715.03916</v>
      </c>
      <c r="W132" s="3">
        <v>0.127</v>
      </c>
      <c r="X132" s="4">
        <v>0.0135</v>
      </c>
      <c r="Y132" s="23">
        <f t="shared" si="4"/>
        <v>645.788202</v>
      </c>
      <c r="Z132" s="24">
        <f t="shared" si="5"/>
        <v>0.1345504213</v>
      </c>
      <c r="AA132" s="25">
        <f t="shared" si="6"/>
        <v>0.3354743906</v>
      </c>
      <c r="AB132" s="23">
        <f t="shared" si="7"/>
        <v>1081.797303</v>
      </c>
      <c r="AC132" s="24">
        <f t="shared" si="8"/>
        <v>0.1628187832</v>
      </c>
      <c r="AD132" s="25">
        <f t="shared" si="9"/>
        <v>0.5619726249</v>
      </c>
      <c r="AE132" s="26">
        <f>P132*(1-I132)*(1+'参数表'!$C$6)*(W132+X132+H132)*1.1+0.4*1.1</f>
        <v>8.231069</v>
      </c>
      <c r="AF132" s="26">
        <f t="shared" si="10"/>
        <v>10.9531235</v>
      </c>
    </row>
    <row r="133">
      <c r="A133" s="44" t="s">
        <v>421</v>
      </c>
      <c r="C133" s="30" t="s">
        <v>422</v>
      </c>
      <c r="D133" s="2" t="s">
        <v>61</v>
      </c>
      <c r="E133" s="14"/>
      <c r="F133" s="14"/>
      <c r="G133" s="13" t="s">
        <v>423</v>
      </c>
      <c r="H133" s="3">
        <v>0.05</v>
      </c>
      <c r="I133" s="3">
        <v>0.0</v>
      </c>
      <c r="J133" s="15">
        <v>1320.0</v>
      </c>
      <c r="K133" s="16">
        <v>80.0</v>
      </c>
      <c r="L133" s="16">
        <v>14.0</v>
      </c>
      <c r="M133" s="16">
        <v>2.0</v>
      </c>
      <c r="N133" s="16">
        <v>2.0</v>
      </c>
      <c r="O133" s="17">
        <f t="shared" si="12"/>
        <v>80</v>
      </c>
      <c r="P133" s="18">
        <v>24.8</v>
      </c>
      <c r="Q133" s="6">
        <f t="array" ref="Q133">XLOOKUP(K133/1000, '运费（邮政）'!$A$2:$A$21, '运费（邮政）'!$B$2:$B$21, "超出范围", 1)</f>
        <v>880</v>
      </c>
      <c r="R133" s="18">
        <v>9.99</v>
      </c>
      <c r="S133" s="19">
        <f t="shared" si="2"/>
        <v>6.560249014</v>
      </c>
      <c r="T133" s="20">
        <f t="shared" si="3"/>
        <v>34.79</v>
      </c>
      <c r="U133" s="21">
        <f t="array" ref="U133">XLOOKUP(O133/1000, '运费（橙联）'!$A$2:$A$57, '运费（橙联）'!$B$2:$B$57, "超出范围", 1)</f>
        <v>1227</v>
      </c>
      <c r="V133" s="22">
        <f>(P133*'参数表'!$C$2*(1+'参数表'!$C$3))*$B$1+'参数表'!$C$4</f>
        <v>584.55536</v>
      </c>
      <c r="W133" s="3">
        <v>0.127</v>
      </c>
      <c r="X133" s="4">
        <v>0.0135</v>
      </c>
      <c r="Y133" s="23">
        <f t="shared" si="4"/>
        <v>447.373592</v>
      </c>
      <c r="Z133" s="24">
        <f t="shared" si="5"/>
        <v>0.1270370264</v>
      </c>
      <c r="AA133" s="25">
        <f t="shared" si="6"/>
        <v>0.3389193879</v>
      </c>
      <c r="AB133" s="23">
        <f t="shared" si="7"/>
        <v>637.134793</v>
      </c>
      <c r="AC133" s="24">
        <f t="shared" si="8"/>
        <v>0.1289699551</v>
      </c>
      <c r="AD133" s="25">
        <f t="shared" si="9"/>
        <v>0.4826778735</v>
      </c>
      <c r="AE133" s="26">
        <f>P133*(1-I133)*(1+'参数表'!$C$6)*(W133+X133+H133)*1.1+0.4*1.1</f>
        <v>6.156524</v>
      </c>
      <c r="AF133" s="26">
        <f t="shared" si="10"/>
        <v>8.2499285</v>
      </c>
    </row>
    <row r="134">
      <c r="A134" s="44" t="s">
        <v>424</v>
      </c>
      <c r="C134" s="30" t="s">
        <v>425</v>
      </c>
      <c r="D134" s="2" t="s">
        <v>426</v>
      </c>
      <c r="E134" s="14"/>
      <c r="F134" s="14"/>
      <c r="G134" s="13" t="s">
        <v>427</v>
      </c>
      <c r="H134" s="3">
        <v>0.05</v>
      </c>
      <c r="I134" s="3">
        <v>0.0</v>
      </c>
      <c r="J134" s="15">
        <v>5000.0</v>
      </c>
      <c r="K134" s="16">
        <v>180.0</v>
      </c>
      <c r="L134" s="16">
        <v>19.0</v>
      </c>
      <c r="M134" s="16">
        <v>12.0</v>
      </c>
      <c r="N134" s="16">
        <v>3.0</v>
      </c>
      <c r="O134" s="17">
        <f t="shared" si="12"/>
        <v>180</v>
      </c>
      <c r="P134" s="18">
        <v>74.8</v>
      </c>
      <c r="Q134" s="6">
        <f t="array" ref="Q134">XLOOKUP(K134/1000, '运费（邮政）'!$A$2:$A$21, '运费（邮政）'!$B$2:$B$21, "超出范围", 1)</f>
        <v>1060</v>
      </c>
      <c r="R134" s="18">
        <v>18.99</v>
      </c>
      <c r="S134" s="19">
        <f t="shared" si="2"/>
        <v>11.38355887</v>
      </c>
      <c r="T134" s="20">
        <f t="shared" si="3"/>
        <v>93.79</v>
      </c>
      <c r="U134" s="21">
        <f t="array" ref="U134">XLOOKUP(O134/1000, '运费（橙联）'!$A$2:$A$57, '运费（橙联）'!$B$2:$B$57, "超出范围", 1)</f>
        <v>1367</v>
      </c>
      <c r="V134" s="22">
        <f>(P134*'参数表'!$C$2*(1+'参数表'!$C$3))*$B$1+'参数表'!$C$4</f>
        <v>1309.46536</v>
      </c>
      <c r="W134" s="3">
        <v>0.127</v>
      </c>
      <c r="X134" s="4">
        <v>0.0135</v>
      </c>
      <c r="Y134" s="23">
        <f t="shared" si="4"/>
        <v>2050.788092</v>
      </c>
      <c r="Z134" s="24">
        <f t="shared" si="5"/>
        <v>0.1930771345</v>
      </c>
      <c r="AA134" s="25">
        <f t="shared" si="6"/>
        <v>0.4101576184</v>
      </c>
      <c r="AB134" s="23">
        <f t="shared" si="7"/>
        <v>2565.834393</v>
      </c>
      <c r="AC134" s="24">
        <f t="shared" si="8"/>
        <v>0.1926565336</v>
      </c>
      <c r="AD134" s="25">
        <f t="shared" si="9"/>
        <v>0.5131668786</v>
      </c>
      <c r="AE134" s="26">
        <f>P134*(1-I134)*(1+'参数表'!$C$6)*(W134+X134+H134)*1.1+0.4*1.1</f>
        <v>17.681774</v>
      </c>
      <c r="AF134" s="26">
        <f t="shared" si="10"/>
        <v>21.6611285</v>
      </c>
    </row>
    <row r="135">
      <c r="A135" s="44" t="s">
        <v>428</v>
      </c>
      <c r="C135" s="30" t="s">
        <v>429</v>
      </c>
      <c r="D135" s="2" t="s">
        <v>69</v>
      </c>
      <c r="E135" s="14"/>
      <c r="F135" s="14"/>
      <c r="G135" s="32"/>
      <c r="H135" s="3">
        <v>0.05</v>
      </c>
      <c r="I135" s="3">
        <v>0.0</v>
      </c>
      <c r="J135" s="15"/>
      <c r="K135" s="16"/>
      <c r="L135" s="16">
        <v>34.0</v>
      </c>
      <c r="M135" s="16">
        <v>24.0</v>
      </c>
      <c r="N135" s="16">
        <v>2.0</v>
      </c>
      <c r="O135" s="17">
        <f t="shared" si="12"/>
        <v>204</v>
      </c>
      <c r="P135" s="18"/>
      <c r="Q135" s="6">
        <f t="array" ref="Q135">XLOOKUP(K135/1000, '运费（邮政）'!$A$2:$A$21, '运费（邮政）'!$B$2:$B$21, "超出范围", 1)</f>
        <v>880</v>
      </c>
      <c r="R135" s="18"/>
      <c r="S135" s="19">
        <f t="shared" si="2"/>
        <v>6.521126761</v>
      </c>
      <c r="T135" s="20">
        <f t="shared" si="3"/>
        <v>0</v>
      </c>
      <c r="U135" s="21">
        <f t="array" ref="U135">XLOOKUP(O135/1000, '运费（橙联）'!$A$2:$A$57, '运费（橙联）'!$B$2:$B$57, "超出范围", 1)</f>
        <v>1581</v>
      </c>
      <c r="V135" s="22">
        <f>(P135*'参数表'!$C$2*(1+'参数表'!$C$3))*$B$1+'参数表'!$C$4</f>
        <v>225</v>
      </c>
      <c r="W135" s="3">
        <v>0.127</v>
      </c>
      <c r="X135" s="4">
        <v>0.0135</v>
      </c>
      <c r="Y135" s="23">
        <f t="shared" si="4"/>
        <v>-942.48</v>
      </c>
      <c r="Z135" s="24" t="str">
        <f t="shared" si="5"/>
        <v>#DIV/0!</v>
      </c>
      <c r="AA135" s="25" t="str">
        <f t="shared" si="6"/>
        <v>#DIV/0!</v>
      </c>
      <c r="AB135" s="23">
        <f t="shared" si="7"/>
        <v>-1868.48</v>
      </c>
      <c r="AC135" s="24" t="str">
        <f t="shared" si="8"/>
        <v>#DIV/0!</v>
      </c>
      <c r="AD135" s="25" t="str">
        <f t="shared" si="9"/>
        <v>#DIV/0!</v>
      </c>
      <c r="AE135" s="26">
        <f>P135*(1-I135)*(1+'参数表'!$C$6)*(W135+X135+H135)*1.1+0.4*1.1</f>
        <v>0.44</v>
      </c>
      <c r="AF135" s="26">
        <f t="shared" si="10"/>
        <v>0.44</v>
      </c>
    </row>
    <row r="136">
      <c r="A136" s="44" t="s">
        <v>430</v>
      </c>
      <c r="C136" s="30" t="s">
        <v>431</v>
      </c>
      <c r="D136" s="2" t="s">
        <v>61</v>
      </c>
      <c r="E136" s="14"/>
      <c r="F136" s="14"/>
      <c r="G136" s="13" t="s">
        <v>432</v>
      </c>
      <c r="H136" s="3">
        <v>0.05</v>
      </c>
      <c r="I136" s="3">
        <v>0.0</v>
      </c>
      <c r="J136" s="15">
        <v>5000.0</v>
      </c>
      <c r="K136" s="16">
        <v>80.0</v>
      </c>
      <c r="L136" s="16">
        <v>13.0</v>
      </c>
      <c r="M136" s="16">
        <v>4.0</v>
      </c>
      <c r="N136" s="16">
        <v>4.0</v>
      </c>
      <c r="O136" s="17">
        <f t="shared" si="12"/>
        <v>80</v>
      </c>
      <c r="P136" s="18">
        <v>74.8</v>
      </c>
      <c r="Q136" s="6">
        <f t="array" ref="Q136">XLOOKUP(K136/1000, '运费（邮政）'!$A$2:$A$21, '运费（邮政）'!$B$2:$B$21, "超出范围", 1)</f>
        <v>880</v>
      </c>
      <c r="R136" s="18">
        <v>18.99</v>
      </c>
      <c r="S136" s="19">
        <f t="shared" si="2"/>
        <v>11.66524901</v>
      </c>
      <c r="T136" s="20">
        <f t="shared" si="3"/>
        <v>93.79</v>
      </c>
      <c r="U136" s="21">
        <f t="array" ref="U136">XLOOKUP(O136/1000, '运费（橙联）'!$A$2:$A$57, '运费（橙联）'!$B$2:$B$57, "超出范围", 1)</f>
        <v>1227</v>
      </c>
      <c r="V136" s="22">
        <f>(P136*'参数表'!$C$2*(1+'参数表'!$C$3))*$B$1+'参数表'!$C$4</f>
        <v>1309.46536</v>
      </c>
      <c r="W136" s="3">
        <v>0.127</v>
      </c>
      <c r="X136" s="4">
        <v>0.0135</v>
      </c>
      <c r="Y136" s="23">
        <f t="shared" si="4"/>
        <v>2230.788092</v>
      </c>
      <c r="Z136" s="24">
        <f t="shared" si="5"/>
        <v>0.2100237339</v>
      </c>
      <c r="AA136" s="25">
        <f t="shared" si="6"/>
        <v>0.4461576184</v>
      </c>
      <c r="AB136" s="23">
        <f t="shared" si="7"/>
        <v>2705.834393</v>
      </c>
      <c r="AC136" s="24">
        <f t="shared" si="8"/>
        <v>0.2031684805</v>
      </c>
      <c r="AD136" s="25">
        <f t="shared" si="9"/>
        <v>0.5411668786</v>
      </c>
      <c r="AE136" s="26">
        <f>P136*(1-I136)*(1+'参数表'!$C$6)*(W136+X136+H136)*1.1+0.4*1.1</f>
        <v>17.681774</v>
      </c>
      <c r="AF136" s="26">
        <f t="shared" si="10"/>
        <v>21.6611285</v>
      </c>
    </row>
    <row r="137">
      <c r="A137" s="44" t="s">
        <v>433</v>
      </c>
      <c r="C137" s="30" t="s">
        <v>434</v>
      </c>
      <c r="D137" s="2" t="s">
        <v>435</v>
      </c>
      <c r="E137" s="14"/>
      <c r="F137" s="14"/>
      <c r="G137" s="13" t="s">
        <v>436</v>
      </c>
      <c r="H137" s="3">
        <v>0.05</v>
      </c>
      <c r="I137" s="3">
        <v>0.0</v>
      </c>
      <c r="J137" s="15">
        <v>2970.0</v>
      </c>
      <c r="K137" s="16">
        <v>120.0</v>
      </c>
      <c r="L137" s="16">
        <v>14.0</v>
      </c>
      <c r="M137" s="16">
        <v>10.0</v>
      </c>
      <c r="N137" s="16">
        <v>5.0</v>
      </c>
      <c r="O137" s="17">
        <f t="shared" si="12"/>
        <v>120</v>
      </c>
      <c r="P137" s="18">
        <v>44.8</v>
      </c>
      <c r="Q137" s="6">
        <f t="array" ref="Q137">XLOOKUP(K137/1000, '运费（邮政）'!$A$2:$A$21, '运费（邮政）'!$B$2:$B$21, "超出范围", 1)</f>
        <v>1060</v>
      </c>
      <c r="R137" s="18">
        <v>15.0</v>
      </c>
      <c r="S137" s="19">
        <f t="shared" si="2"/>
        <v>8.320558873</v>
      </c>
      <c r="T137" s="20">
        <f t="shared" si="3"/>
        <v>59.8</v>
      </c>
      <c r="U137" s="21">
        <f t="array" ref="U137">XLOOKUP(O137/1000, '运费（橙联）'!$A$2:$A$57, '运费（橙联）'!$B$2:$B$57, "超出范围", 1)</f>
        <v>1367</v>
      </c>
      <c r="V137" s="22">
        <f>(P137*'参数表'!$C$2*(1+'参数表'!$C$3))*$B$1+'参数表'!$C$4</f>
        <v>874.51936</v>
      </c>
      <c r="W137" s="3">
        <v>0.127</v>
      </c>
      <c r="X137" s="4">
        <v>0.0135</v>
      </c>
      <c r="Y137" s="23">
        <f t="shared" si="4"/>
        <v>802.739392</v>
      </c>
      <c r="Z137" s="24">
        <f t="shared" si="5"/>
        <v>0.1261851408</v>
      </c>
      <c r="AA137" s="25">
        <f t="shared" si="6"/>
        <v>0.2702826236</v>
      </c>
      <c r="AB137" s="23">
        <f t="shared" si="7"/>
        <v>1304.878532</v>
      </c>
      <c r="AC137" s="24">
        <f t="shared" si="8"/>
        <v>0.1536669805</v>
      </c>
      <c r="AD137" s="25">
        <f t="shared" si="9"/>
        <v>0.4393530411</v>
      </c>
      <c r="AE137" s="26">
        <f>P137*(1-I137)*(1+'参数表'!$C$6)*(W137+X137+H137)*1.1+0.4*1.1</f>
        <v>10.766624</v>
      </c>
      <c r="AF137" s="26">
        <f t="shared" si="10"/>
        <v>13.909874</v>
      </c>
    </row>
    <row r="138">
      <c r="A138" s="44" t="s">
        <v>437</v>
      </c>
      <c r="C138" s="30" t="s">
        <v>438</v>
      </c>
      <c r="D138" s="2" t="s">
        <v>61</v>
      </c>
      <c r="E138" s="14"/>
      <c r="F138" s="14"/>
      <c r="G138" s="13" t="s">
        <v>439</v>
      </c>
      <c r="H138" s="3">
        <v>0.05</v>
      </c>
      <c r="I138" s="3">
        <v>0.0</v>
      </c>
      <c r="J138" s="15">
        <v>13200.0</v>
      </c>
      <c r="K138" s="16">
        <v>110.0</v>
      </c>
      <c r="L138" s="16">
        <v>17.0</v>
      </c>
      <c r="M138" s="16">
        <v>17.0</v>
      </c>
      <c r="N138" s="16">
        <v>4.0</v>
      </c>
      <c r="O138" s="17">
        <f t="shared" si="12"/>
        <v>144.5</v>
      </c>
      <c r="P138" s="18">
        <v>188.0</v>
      </c>
      <c r="Q138" s="6">
        <f t="array" ref="Q138">XLOOKUP(K138/1000, '运费（邮政）'!$A$2:$A$21, '运费（邮政）'!$B$2:$B$21, "超出范围", 1)</f>
        <v>1060</v>
      </c>
      <c r="R138" s="18">
        <v>39.99</v>
      </c>
      <c r="S138" s="19">
        <f t="shared" si="2"/>
        <v>22.94127887</v>
      </c>
      <c r="T138" s="20">
        <f t="shared" si="3"/>
        <v>227.99</v>
      </c>
      <c r="U138" s="21">
        <f t="array" ref="U138">XLOOKUP(O138/1000, '运费（橙联）'!$A$2:$A$57, '运费（橙联）'!$B$2:$B$57, "超出范围", 1)</f>
        <v>1367</v>
      </c>
      <c r="V138" s="22">
        <f>(P138*'参数表'!$C$2*(1+'参数表'!$C$3))*$B$1+'参数表'!$C$4</f>
        <v>2950.6616</v>
      </c>
      <c r="W138" s="3">
        <v>0.127</v>
      </c>
      <c r="X138" s="4">
        <v>0.0135</v>
      </c>
      <c r="Y138" s="23">
        <f t="shared" si="4"/>
        <v>6219.95852</v>
      </c>
      <c r="Z138" s="24">
        <f t="shared" si="5"/>
        <v>0.2329921531</v>
      </c>
      <c r="AA138" s="25">
        <f t="shared" si="6"/>
        <v>0.4712089788</v>
      </c>
      <c r="AB138" s="23">
        <f t="shared" si="7"/>
        <v>7450.930481</v>
      </c>
      <c r="AC138" s="24">
        <f t="shared" si="8"/>
        <v>0.2301475565</v>
      </c>
      <c r="AD138" s="25">
        <f t="shared" si="9"/>
        <v>0.5644644304</v>
      </c>
      <c r="AE138" s="26">
        <f>P138*(1-I138)*(1+'参数表'!$C$6)*(W138+X138+H138)*1.1+0.4*1.1</f>
        <v>43.77494</v>
      </c>
      <c r="AF138" s="26">
        <f t="shared" si="10"/>
        <v>52.1548445</v>
      </c>
    </row>
    <row r="139">
      <c r="A139" s="44" t="s">
        <v>440</v>
      </c>
      <c r="C139" s="30" t="s">
        <v>441</v>
      </c>
      <c r="D139" s="2" t="s">
        <v>61</v>
      </c>
      <c r="E139" s="14"/>
      <c r="F139" s="14"/>
      <c r="G139" s="13" t="s">
        <v>442</v>
      </c>
      <c r="H139" s="3">
        <v>0.05</v>
      </c>
      <c r="I139" s="3">
        <v>0.0</v>
      </c>
      <c r="J139" s="15">
        <v>33000.0</v>
      </c>
      <c r="K139" s="16">
        <v>1410.0</v>
      </c>
      <c r="L139" s="16">
        <v>28.0</v>
      </c>
      <c r="M139" s="16">
        <v>5.0</v>
      </c>
      <c r="N139" s="16">
        <v>5.0</v>
      </c>
      <c r="O139" s="17">
        <f t="shared" si="12"/>
        <v>1410</v>
      </c>
      <c r="P139" s="18">
        <v>498.0</v>
      </c>
      <c r="Q139" s="6">
        <f t="array" ref="Q139">XLOOKUP(K139/1000, '运费（邮政）'!$A$2:$A$21, '运费（邮政）'!$B$2:$B$21, "超出范围", 1)</f>
        <v>3400</v>
      </c>
      <c r="R139" s="18">
        <v>99.99</v>
      </c>
      <c r="S139" s="19">
        <f t="shared" si="2"/>
        <v>56.48664507</v>
      </c>
      <c r="T139" s="20">
        <f t="shared" si="3"/>
        <v>597.99</v>
      </c>
      <c r="U139" s="21">
        <f t="array" ref="U139">XLOOKUP(O139/1000, '运费（橙联）'!$A$2:$A$57, '运费（橙联）'!$B$2:$B$57, "超出范围", 1)</f>
        <v>3976</v>
      </c>
      <c r="V139" s="22">
        <f>(P139*'参数表'!$C$2*(1+'参数表'!$C$3))*$B$1+'参数表'!$C$4</f>
        <v>7445.1036</v>
      </c>
      <c r="W139" s="3">
        <v>0.127</v>
      </c>
      <c r="X139" s="4">
        <v>0.0135</v>
      </c>
      <c r="Y139" s="23">
        <f t="shared" si="4"/>
        <v>17953.12842</v>
      </c>
      <c r="Z139" s="24">
        <f t="shared" si="5"/>
        <v>0.2538764695</v>
      </c>
      <c r="AA139" s="25">
        <f t="shared" si="6"/>
        <v>0.5440341945</v>
      </c>
      <c r="AB139" s="23">
        <f t="shared" si="7"/>
        <v>21155.29238</v>
      </c>
      <c r="AC139" s="24">
        <f t="shared" si="8"/>
        <v>0.2491361599</v>
      </c>
      <c r="AD139" s="25">
        <f t="shared" si="9"/>
        <v>0.6410694661</v>
      </c>
      <c r="AE139" s="26">
        <f>P139*(1-I139)*(1+'参数表'!$C$6)*(W139+X139+H139)*1.1+0.4*1.1</f>
        <v>115.23149</v>
      </c>
      <c r="AF139" s="26">
        <f t="shared" si="10"/>
        <v>136.1843945</v>
      </c>
    </row>
    <row r="140">
      <c r="A140" s="44" t="s">
        <v>443</v>
      </c>
      <c r="C140" s="30" t="s">
        <v>444</v>
      </c>
      <c r="D140" s="2" t="s">
        <v>61</v>
      </c>
      <c r="E140" s="14"/>
      <c r="F140" s="14"/>
      <c r="G140" s="13" t="s">
        <v>445</v>
      </c>
      <c r="H140" s="3">
        <v>0.05</v>
      </c>
      <c r="I140" s="3">
        <v>0.0</v>
      </c>
      <c r="J140" s="15">
        <v>23000.0</v>
      </c>
      <c r="K140" s="16">
        <v>1410.0</v>
      </c>
      <c r="L140" s="16">
        <v>27.0</v>
      </c>
      <c r="M140" s="16">
        <v>3.0</v>
      </c>
      <c r="N140" s="16">
        <v>3.0</v>
      </c>
      <c r="O140" s="17">
        <f t="shared" si="12"/>
        <v>1410</v>
      </c>
      <c r="P140" s="18">
        <v>358.0</v>
      </c>
      <c r="Q140" s="6">
        <f t="array" ref="Q140">XLOOKUP(K140/1000, '运费（邮政）'!$A$2:$A$21, '运费（邮政）'!$B$2:$B$21, "超出范围", 1)</f>
        <v>3400</v>
      </c>
      <c r="R140" s="18">
        <v>64.99</v>
      </c>
      <c r="S140" s="19">
        <f t="shared" si="2"/>
        <v>42.19264507</v>
      </c>
      <c r="T140" s="20">
        <f t="shared" si="3"/>
        <v>422.99</v>
      </c>
      <c r="U140" s="21">
        <f t="array" ref="U140">XLOOKUP(O140/1000, '运费（橙联）'!$A$2:$A$57, '运费（橙联）'!$B$2:$B$57, "超出范围", 1)</f>
        <v>3976</v>
      </c>
      <c r="V140" s="22">
        <f>(P140*'参数表'!$C$2*(1+'参数表'!$C$3))*$B$1+'参数表'!$C$4</f>
        <v>5415.3556</v>
      </c>
      <c r="W140" s="3">
        <v>0.127</v>
      </c>
      <c r="X140" s="4">
        <v>0.0135</v>
      </c>
      <c r="Y140" s="23">
        <f t="shared" si="4"/>
        <v>12655.56782</v>
      </c>
      <c r="Z140" s="24">
        <f t="shared" si="5"/>
        <v>0.2489489303</v>
      </c>
      <c r="AA140" s="25">
        <f t="shared" si="6"/>
        <v>0.5502420791</v>
      </c>
      <c r="AB140" s="23">
        <f t="shared" si="7"/>
        <v>13958.94328</v>
      </c>
      <c r="AC140" s="24">
        <f t="shared" si="8"/>
        <v>0.232398916</v>
      </c>
      <c r="AD140" s="25">
        <f t="shared" si="9"/>
        <v>0.6069105774</v>
      </c>
      <c r="AE140" s="26">
        <f>P140*(1-I140)*(1+'参数表'!$C$6)*(W140+X140+H140)*1.1+0.4*1.1</f>
        <v>82.96079</v>
      </c>
      <c r="AF140" s="26">
        <f t="shared" si="10"/>
        <v>96.5794445</v>
      </c>
    </row>
    <row r="141">
      <c r="A141" s="44" t="s">
        <v>446</v>
      </c>
      <c r="C141" s="30" t="s">
        <v>447</v>
      </c>
      <c r="D141" s="2" t="s">
        <v>448</v>
      </c>
      <c r="E141" s="14"/>
      <c r="F141" s="14"/>
      <c r="G141" s="13" t="s">
        <v>449</v>
      </c>
      <c r="H141" s="3">
        <v>0.05</v>
      </c>
      <c r="I141" s="3">
        <v>0.0</v>
      </c>
      <c r="J141" s="15">
        <v>33000.0</v>
      </c>
      <c r="K141" s="16">
        <v>1410.0</v>
      </c>
      <c r="L141" s="16">
        <v>12.0</v>
      </c>
      <c r="M141" s="16">
        <v>6.0</v>
      </c>
      <c r="N141" s="16">
        <v>17.0</v>
      </c>
      <c r="O141" s="17">
        <f t="shared" si="12"/>
        <v>1410</v>
      </c>
      <c r="P141" s="18">
        <v>498.0</v>
      </c>
      <c r="Q141" s="6">
        <f t="array" ref="Q141">XLOOKUP(K141/1000, '运费（邮政）'!$A$2:$A$21, '运费（邮政）'!$B$2:$B$21, "超出范围", 1)</f>
        <v>3400</v>
      </c>
      <c r="R141" s="18">
        <v>99.99</v>
      </c>
      <c r="S141" s="19">
        <f t="shared" si="2"/>
        <v>56.48664507</v>
      </c>
      <c r="T141" s="20">
        <f t="shared" si="3"/>
        <v>597.99</v>
      </c>
      <c r="U141" s="21">
        <f t="array" ref="U141">XLOOKUP(O141/1000, '运费（橙联）'!$A$2:$A$57, '运费（橙联）'!$B$2:$B$57, "超出范围", 1)</f>
        <v>3976</v>
      </c>
      <c r="V141" s="22">
        <f>(P141*'参数表'!$C$2*(1+'参数表'!$C$3))*$B$1+'参数表'!$C$4</f>
        <v>7445.1036</v>
      </c>
      <c r="W141" s="3">
        <v>0.127</v>
      </c>
      <c r="X141" s="4">
        <v>0.0135</v>
      </c>
      <c r="Y141" s="23">
        <f t="shared" si="4"/>
        <v>17953.12842</v>
      </c>
      <c r="Z141" s="24">
        <f t="shared" si="5"/>
        <v>0.2538764695</v>
      </c>
      <c r="AA141" s="25">
        <f t="shared" si="6"/>
        <v>0.5440341945</v>
      </c>
      <c r="AB141" s="23">
        <f t="shared" si="7"/>
        <v>21155.29238</v>
      </c>
      <c r="AC141" s="24">
        <f t="shared" si="8"/>
        <v>0.2491361599</v>
      </c>
      <c r="AD141" s="25">
        <f t="shared" si="9"/>
        <v>0.6410694661</v>
      </c>
      <c r="AE141" s="26">
        <f>P141*(1-I141)*(1+'参数表'!$C$6)*(W141+X141+H141)*1.1+0.4*1.1</f>
        <v>115.23149</v>
      </c>
      <c r="AF141" s="26">
        <f t="shared" si="10"/>
        <v>136.1843945</v>
      </c>
    </row>
    <row r="142">
      <c r="A142" s="44" t="s">
        <v>450</v>
      </c>
      <c r="C142" s="30" t="s">
        <v>451</v>
      </c>
      <c r="D142" s="2" t="s">
        <v>61</v>
      </c>
      <c r="E142" s="14"/>
      <c r="F142" s="14"/>
      <c r="G142" s="13" t="s">
        <v>452</v>
      </c>
      <c r="H142" s="3">
        <v>0.05</v>
      </c>
      <c r="I142" s="3">
        <v>0.0</v>
      </c>
      <c r="J142" s="15">
        <v>1452.0</v>
      </c>
      <c r="K142" s="16">
        <v>80.0</v>
      </c>
      <c r="L142" s="16">
        <v>23.0</v>
      </c>
      <c r="M142" s="16">
        <v>7.0</v>
      </c>
      <c r="N142" s="16">
        <v>2.0</v>
      </c>
      <c r="O142" s="17">
        <f t="shared" si="12"/>
        <v>80</v>
      </c>
      <c r="P142" s="18">
        <v>26.8</v>
      </c>
      <c r="Q142" s="6">
        <f t="array" ref="Q142">XLOOKUP(K142/1000, '运费（邮政）'!$A$2:$A$21, '运费（邮政）'!$B$2:$B$21, "超出范围", 1)</f>
        <v>880</v>
      </c>
      <c r="R142" s="18">
        <v>9.99</v>
      </c>
      <c r="S142" s="19">
        <f t="shared" si="2"/>
        <v>6.764449014</v>
      </c>
      <c r="T142" s="20">
        <f t="shared" si="3"/>
        <v>36.79</v>
      </c>
      <c r="U142" s="21">
        <f t="array" ref="U142">XLOOKUP(O142/1000, '运费（橙联）'!$A$2:$A$57, '运费（橙联）'!$B$2:$B$57, "超出范围", 1)</f>
        <v>1227</v>
      </c>
      <c r="V142" s="22">
        <f>(P142*'参数表'!$C$2*(1+'参数表'!$C$3))*$B$1+'参数表'!$C$4</f>
        <v>613.55176</v>
      </c>
      <c r="W142" s="3">
        <v>0.127</v>
      </c>
      <c r="X142" s="4">
        <v>0.0135</v>
      </c>
      <c r="Y142" s="23">
        <f t="shared" si="4"/>
        <v>533.910172</v>
      </c>
      <c r="Z142" s="24">
        <f t="shared" si="5"/>
        <v>0.140295925</v>
      </c>
      <c r="AA142" s="25">
        <f t="shared" si="6"/>
        <v>0.36770673</v>
      </c>
      <c r="AB142" s="23">
        <f t="shared" si="7"/>
        <v>694.674973</v>
      </c>
      <c r="AC142" s="24">
        <f t="shared" si="8"/>
        <v>0.1329730164</v>
      </c>
      <c r="AD142" s="25">
        <f t="shared" si="9"/>
        <v>0.4784262899</v>
      </c>
      <c r="AE142" s="26">
        <f>P142*(1-I142)*(1+'参数表'!$C$6)*(W142+X142+H142)*1.1+0.4*1.1</f>
        <v>6.617534</v>
      </c>
      <c r="AF142" s="26">
        <f t="shared" si="10"/>
        <v>8.7109385</v>
      </c>
    </row>
    <row r="143">
      <c r="A143" s="44" t="s">
        <v>453</v>
      </c>
      <c r="C143" s="30" t="s">
        <v>454</v>
      </c>
      <c r="D143" s="2" t="s">
        <v>61</v>
      </c>
      <c r="E143" s="14"/>
      <c r="F143" s="14"/>
      <c r="G143" s="13" t="s">
        <v>455</v>
      </c>
      <c r="H143" s="3">
        <v>0.05</v>
      </c>
      <c r="I143" s="3">
        <v>0.0</v>
      </c>
      <c r="J143" s="15">
        <v>7150.0</v>
      </c>
      <c r="K143" s="16">
        <v>150.0</v>
      </c>
      <c r="L143" s="16">
        <v>15.0</v>
      </c>
      <c r="M143" s="16">
        <v>16.0</v>
      </c>
      <c r="N143" s="16">
        <v>3.0</v>
      </c>
      <c r="O143" s="17">
        <f t="shared" si="12"/>
        <v>150</v>
      </c>
      <c r="P143" s="18">
        <v>94.2</v>
      </c>
      <c r="Q143" s="6">
        <f t="array" ref="Q143">XLOOKUP(K143/1000, '运费（邮政）'!$A$2:$A$21, '运费（邮政）'!$B$2:$B$21, "超出范围", 1)</f>
        <v>1060</v>
      </c>
      <c r="R143" s="18">
        <v>21.99</v>
      </c>
      <c r="S143" s="19">
        <f t="shared" si="2"/>
        <v>13.36429887</v>
      </c>
      <c r="T143" s="20">
        <f t="shared" si="3"/>
        <v>116.19</v>
      </c>
      <c r="U143" s="21">
        <f t="array" ref="U143">XLOOKUP(O143/1000, '运费（橙联）'!$A$2:$A$57, '运费（橙联）'!$B$2:$B$57, "超出范围", 1)</f>
        <v>1367</v>
      </c>
      <c r="V143" s="22">
        <f>(P143*'参数表'!$C$2*(1+'参数表'!$C$3))*$B$1+'参数表'!$C$4</f>
        <v>1590.73044</v>
      </c>
      <c r="W143" s="3">
        <v>0.127</v>
      </c>
      <c r="X143" s="4">
        <v>0.0135</v>
      </c>
      <c r="Y143" s="23">
        <f t="shared" si="4"/>
        <v>2020.592918</v>
      </c>
      <c r="Z143" s="24">
        <f t="shared" si="5"/>
        <v>0.1510565562</v>
      </c>
      <c r="AA143" s="25">
        <f t="shared" si="6"/>
        <v>0.2826004081</v>
      </c>
      <c r="AB143" s="23">
        <f t="shared" si="7"/>
        <v>2591.105839</v>
      </c>
      <c r="AC143" s="24">
        <f t="shared" si="8"/>
        <v>0.1570464258</v>
      </c>
      <c r="AD143" s="25">
        <f t="shared" si="9"/>
        <v>0.362392425</v>
      </c>
      <c r="AE143" s="26">
        <f>P143*(1-I143)*(1+'参数表'!$C$6)*(W143+X143+H143)*1.1+0.4*1.1</f>
        <v>22.153571</v>
      </c>
      <c r="AF143" s="26">
        <f t="shared" si="10"/>
        <v>26.7615755</v>
      </c>
    </row>
    <row r="144">
      <c r="A144" s="44" t="s">
        <v>456</v>
      </c>
      <c r="C144" s="30" t="s">
        <v>457</v>
      </c>
      <c r="D144" s="2" t="s">
        <v>61</v>
      </c>
      <c r="E144" s="14"/>
      <c r="F144" s="14"/>
      <c r="G144" s="13" t="s">
        <v>458</v>
      </c>
      <c r="H144" s="3">
        <v>0.05</v>
      </c>
      <c r="I144" s="3">
        <v>0.0</v>
      </c>
      <c r="J144" s="15">
        <v>4620.0</v>
      </c>
      <c r="K144" s="16">
        <v>580.0</v>
      </c>
      <c r="L144" s="16">
        <v>3.0</v>
      </c>
      <c r="M144" s="16">
        <v>24.0</v>
      </c>
      <c r="N144" s="16">
        <v>7.0</v>
      </c>
      <c r="O144" s="17">
        <f t="shared" si="12"/>
        <v>580</v>
      </c>
      <c r="P144" s="18">
        <v>69.8</v>
      </c>
      <c r="Q144" s="6">
        <f t="array" ref="Q144">XLOOKUP(K144/1000, '运费（邮政）'!$A$2:$A$21, '运费（邮政）'!$B$2:$B$21, "超出范围", 1)</f>
        <v>1780</v>
      </c>
      <c r="R144" s="18">
        <v>18.99</v>
      </c>
      <c r="S144" s="19">
        <f t="shared" si="2"/>
        <v>11.8237631</v>
      </c>
      <c r="T144" s="20">
        <f t="shared" si="3"/>
        <v>88.79</v>
      </c>
      <c r="U144" s="21">
        <f t="array" ref="U144">XLOOKUP(O144/1000, '运费（橙联）'!$A$2:$A$57, '运费（橙联）'!$B$2:$B$57, "超出范围", 1)</f>
        <v>2222</v>
      </c>
      <c r="V144" s="22">
        <f>(P144*'参数表'!$C$2*(1+'参数表'!$C$3))*$B$1+'参数表'!$C$4</f>
        <v>1236.97436</v>
      </c>
      <c r="W144" s="3">
        <v>0.127</v>
      </c>
      <c r="X144" s="4">
        <v>0.0135</v>
      </c>
      <c r="Y144" s="23">
        <f t="shared" si="4"/>
        <v>1164.446642</v>
      </c>
      <c r="Z144" s="24">
        <f t="shared" si="5"/>
        <v>0.1174832158</v>
      </c>
      <c r="AA144" s="25">
        <f t="shared" si="6"/>
        <v>0.2520447277</v>
      </c>
      <c r="AB144" s="23">
        <f t="shared" si="7"/>
        <v>1616.983943</v>
      </c>
      <c r="AC144" s="24">
        <f t="shared" si="8"/>
        <v>0.128248799</v>
      </c>
      <c r="AD144" s="25">
        <f t="shared" si="9"/>
        <v>0.3499965245</v>
      </c>
      <c r="AE144" s="26">
        <f>P144*(1-I144)*(1+'参数表'!$C$6)*(W144+X144+H144)*1.1+0.4*1.1</f>
        <v>16.529249</v>
      </c>
      <c r="AF144" s="26">
        <f t="shared" si="10"/>
        <v>20.5086035</v>
      </c>
    </row>
    <row r="145">
      <c r="A145" s="44" t="s">
        <v>459</v>
      </c>
      <c r="C145" s="30" t="s">
        <v>460</v>
      </c>
      <c r="D145" s="2" t="s">
        <v>461</v>
      </c>
      <c r="E145" s="14"/>
      <c r="F145" s="14"/>
      <c r="G145" s="13" t="s">
        <v>462</v>
      </c>
      <c r="H145" s="3">
        <v>0.05</v>
      </c>
      <c r="I145" s="3">
        <v>0.0</v>
      </c>
      <c r="J145" s="15">
        <v>1498.0</v>
      </c>
      <c r="K145" s="16">
        <v>80.0</v>
      </c>
      <c r="L145" s="16">
        <v>13.0</v>
      </c>
      <c r="M145" s="16">
        <v>5.0</v>
      </c>
      <c r="N145" s="16">
        <v>0.4</v>
      </c>
      <c r="O145" s="17">
        <f t="shared" si="12"/>
        <v>80</v>
      </c>
      <c r="P145" s="18">
        <v>26.8</v>
      </c>
      <c r="Q145" s="6">
        <f t="array" ref="Q145">XLOOKUP(K145/1000, '运费（邮政）'!$A$2:$A$21, '运费（邮政）'!$B$2:$B$21, "超出范围", 1)</f>
        <v>880</v>
      </c>
      <c r="R145" s="18">
        <v>12.99</v>
      </c>
      <c r="S145" s="19">
        <f t="shared" si="2"/>
        <v>6.764449014</v>
      </c>
      <c r="T145" s="20">
        <f t="shared" si="3"/>
        <v>39.79</v>
      </c>
      <c r="U145" s="21">
        <f t="array" ref="U145">XLOOKUP(O145/1000, '运费（橙联）'!$A$2:$A$57, '运费（橙联）'!$B$2:$B$57, "超出范围", 1)</f>
        <v>1227</v>
      </c>
      <c r="V145" s="22">
        <f>(P145*'参数表'!$C$2*(1+'参数表'!$C$3))*$B$1+'参数表'!$C$4</f>
        <v>613.55176</v>
      </c>
      <c r="W145" s="3">
        <v>0.127</v>
      </c>
      <c r="X145" s="4">
        <v>0.0135</v>
      </c>
      <c r="Y145" s="23">
        <f t="shared" si="4"/>
        <v>487.910172</v>
      </c>
      <c r="Z145" s="24">
        <f t="shared" si="5"/>
        <v>0.1282084749</v>
      </c>
      <c r="AA145" s="25">
        <f t="shared" si="6"/>
        <v>0.325707725</v>
      </c>
      <c r="AB145" s="23">
        <f t="shared" si="7"/>
        <v>985.406673</v>
      </c>
      <c r="AC145" s="24">
        <f t="shared" si="8"/>
        <v>0.1744027045</v>
      </c>
      <c r="AD145" s="25">
        <f t="shared" si="9"/>
        <v>0.6578148685</v>
      </c>
      <c r="AE145" s="26">
        <f>P145*(1-I145)*(1+'参数表'!$C$6)*(W145+X145+H145)*1.1+0.4*1.1</f>
        <v>6.617534</v>
      </c>
      <c r="AF145" s="26">
        <f t="shared" si="10"/>
        <v>9.3395885</v>
      </c>
    </row>
    <row r="146">
      <c r="A146" s="44" t="s">
        <v>463</v>
      </c>
      <c r="C146" s="30" t="s">
        <v>464</v>
      </c>
      <c r="D146" s="2" t="s">
        <v>89</v>
      </c>
      <c r="E146" s="14"/>
      <c r="F146" s="14"/>
      <c r="G146" s="13" t="s">
        <v>465</v>
      </c>
      <c r="H146" s="3">
        <v>0.05</v>
      </c>
      <c r="I146" s="3">
        <v>0.0</v>
      </c>
      <c r="J146" s="15">
        <v>4598.0</v>
      </c>
      <c r="K146" s="16">
        <v>140.0</v>
      </c>
      <c r="L146" s="16">
        <v>9.0</v>
      </c>
      <c r="M146" s="16">
        <v>17.0</v>
      </c>
      <c r="N146" s="16">
        <v>20.0</v>
      </c>
      <c r="O146" s="17">
        <f t="shared" si="12"/>
        <v>382.5</v>
      </c>
      <c r="P146" s="18">
        <v>69.8</v>
      </c>
      <c r="Q146" s="6">
        <f t="array" ref="Q146">XLOOKUP(K146/1000, '运费（邮政）'!$A$2:$A$21, '运费（邮政）'!$B$2:$B$21, "超出范围", 1)</f>
        <v>1060</v>
      </c>
      <c r="R146" s="18">
        <v>21.99</v>
      </c>
      <c r="S146" s="19">
        <f t="shared" si="2"/>
        <v>13.76742507</v>
      </c>
      <c r="T146" s="20">
        <f t="shared" si="3"/>
        <v>91.79</v>
      </c>
      <c r="U146" s="21">
        <f t="array" ref="U146">XLOOKUP(O146/1000, '运费（橙联）'!$A$2:$A$57, '运费（橙联）'!$B$2:$B$57, "超出范围", 1)</f>
        <v>1778</v>
      </c>
      <c r="V146" s="22">
        <f>(P146*'参数表'!$C$2*(1+'参数表'!$C$3))*$B$1+'参数表'!$C$4</f>
        <v>1236.97436</v>
      </c>
      <c r="W146" s="3">
        <v>0.127</v>
      </c>
      <c r="X146" s="4">
        <v>0.0135</v>
      </c>
      <c r="Y146" s="23">
        <f t="shared" si="4"/>
        <v>1906.446642</v>
      </c>
      <c r="Z146" s="24">
        <f t="shared" si="5"/>
        <v>0.1923449939</v>
      </c>
      <c r="AA146" s="25">
        <f t="shared" si="6"/>
        <v>0.414625194</v>
      </c>
      <c r="AB146" s="23">
        <f t="shared" si="7"/>
        <v>2419.715643</v>
      </c>
      <c r="AC146" s="24">
        <f t="shared" si="8"/>
        <v>0.185643872</v>
      </c>
      <c r="AD146" s="25">
        <f t="shared" si="9"/>
        <v>0.5262539458</v>
      </c>
      <c r="AE146" s="26">
        <f>P146*(1-I146)*(1+'参数表'!$C$6)*(W146+X146+H146)*1.1+0.4*1.1</f>
        <v>16.529249</v>
      </c>
      <c r="AF146" s="26">
        <f t="shared" si="10"/>
        <v>21.1372535</v>
      </c>
    </row>
    <row r="147">
      <c r="A147" s="44" t="s">
        <v>466</v>
      </c>
      <c r="C147" s="30" t="s">
        <v>467</v>
      </c>
      <c r="D147" s="2" t="s">
        <v>89</v>
      </c>
      <c r="E147" s="14"/>
      <c r="F147" s="14"/>
      <c r="G147" s="13" t="s">
        <v>468</v>
      </c>
      <c r="H147" s="3">
        <v>0.05</v>
      </c>
      <c r="I147" s="3">
        <v>0.0</v>
      </c>
      <c r="J147" s="15">
        <v>1649.0</v>
      </c>
      <c r="K147" s="16">
        <v>110.0</v>
      </c>
      <c r="L147" s="16">
        <v>13.0</v>
      </c>
      <c r="M147" s="16">
        <v>8.0</v>
      </c>
      <c r="N147" s="16">
        <v>8.0</v>
      </c>
      <c r="O147" s="17">
        <f t="shared" si="12"/>
        <v>110</v>
      </c>
      <c r="P147" s="18">
        <v>34.8</v>
      </c>
      <c r="Q147" s="6">
        <f t="array" ref="Q147">XLOOKUP(K147/1000, '运费（邮政）'!$A$2:$A$21, '运费（邮政）'!$B$2:$B$21, "超出范围", 1)</f>
        <v>1060</v>
      </c>
      <c r="R147" s="18">
        <v>12.99</v>
      </c>
      <c r="S147" s="19">
        <f t="shared" si="2"/>
        <v>7.299558873</v>
      </c>
      <c r="T147" s="20">
        <f t="shared" si="3"/>
        <v>47.79</v>
      </c>
      <c r="U147" s="21">
        <f t="array" ref="U147">XLOOKUP(O147/1000, '运费（橙联）'!$A$2:$A$57, '运费（橙联）'!$B$2:$B$57, "超出范围", 1)</f>
        <v>1367</v>
      </c>
      <c r="V147" s="22">
        <f>(P147*'参数表'!$C$2*(1+'参数表'!$C$3))*$B$1+'参数表'!$C$4</f>
        <v>729.53736</v>
      </c>
      <c r="W147" s="3">
        <v>0.127</v>
      </c>
      <c r="X147" s="4">
        <v>0.0135</v>
      </c>
      <c r="Y147" s="23">
        <f t="shared" si="4"/>
        <v>1031.056492</v>
      </c>
      <c r="Z147" s="24">
        <f t="shared" si="5"/>
        <v>0.2086483107</v>
      </c>
      <c r="AA147" s="25">
        <f t="shared" si="6"/>
        <v>0.6252616689</v>
      </c>
      <c r="AB147" s="23">
        <f t="shared" si="7"/>
        <v>1452.567393</v>
      </c>
      <c r="AC147" s="24">
        <f t="shared" si="8"/>
        <v>0.2140478727</v>
      </c>
      <c r="AD147" s="25">
        <f t="shared" si="9"/>
        <v>0.8808777398</v>
      </c>
      <c r="AE147" s="26">
        <f>P147*(1-I147)*(1+'参数表'!$C$6)*(W147+X147+H147)*1.1+0.4*1.1</f>
        <v>8.461574</v>
      </c>
      <c r="AF147" s="26">
        <f t="shared" si="10"/>
        <v>11.1836285</v>
      </c>
    </row>
    <row r="148">
      <c r="A148" s="44" t="s">
        <v>469</v>
      </c>
      <c r="C148" s="30" t="s">
        <v>470</v>
      </c>
      <c r="D148" s="2" t="s">
        <v>61</v>
      </c>
      <c r="E148" s="14"/>
      <c r="F148" s="14"/>
      <c r="G148" s="2">
        <v>4.550337414477E12</v>
      </c>
      <c r="H148" s="3">
        <v>0.05</v>
      </c>
      <c r="I148" s="3">
        <v>0.0</v>
      </c>
      <c r="J148" s="15">
        <v>3696.0</v>
      </c>
      <c r="K148" s="16">
        <v>200.0</v>
      </c>
      <c r="L148" s="16">
        <v>14.0</v>
      </c>
      <c r="M148" s="16">
        <v>18.0</v>
      </c>
      <c r="N148" s="16">
        <v>24.0</v>
      </c>
      <c r="O148" s="17">
        <f t="shared" si="12"/>
        <v>756</v>
      </c>
      <c r="P148" s="18">
        <v>53.8</v>
      </c>
      <c r="Q148" s="6">
        <f t="array" ref="Q148">XLOOKUP(K148/1000, '运费（邮政）'!$A$2:$A$21, '运费（邮政）'!$B$2:$B$21, "超出范围", 1)</f>
        <v>1060</v>
      </c>
      <c r="R148" s="18">
        <v>29.99</v>
      </c>
      <c r="S148" s="19">
        <f t="shared" si="2"/>
        <v>18.64790958</v>
      </c>
      <c r="T148" s="20">
        <f t="shared" si="3"/>
        <v>83.79</v>
      </c>
      <c r="U148" s="21">
        <f t="array" ref="U148">XLOOKUP(O148/1000, '运费（橙联）'!$A$2:$A$57, '运费（橙联）'!$B$2:$B$57, "超出范围", 1)</f>
        <v>2703</v>
      </c>
      <c r="V148" s="22">
        <f>(P148*'参数表'!$C$2*(1+'参数表'!$C$3))*$B$1+'参数表'!$C$4</f>
        <v>1005.00316</v>
      </c>
      <c r="W148" s="3">
        <v>0.127</v>
      </c>
      <c r="X148" s="4">
        <v>0.0135</v>
      </c>
      <c r="Y148" s="23">
        <f t="shared" si="4"/>
        <v>1060.154002</v>
      </c>
      <c r="Z148" s="24">
        <f t="shared" si="5"/>
        <v>0.1387708783</v>
      </c>
      <c r="AA148" s="25">
        <f t="shared" si="6"/>
        <v>0.286838204</v>
      </c>
      <c r="AB148" s="23">
        <f t="shared" si="7"/>
        <v>1778.345403</v>
      </c>
      <c r="AC148" s="24">
        <f t="shared" si="8"/>
        <v>0.1494636493</v>
      </c>
      <c r="AD148" s="25">
        <f t="shared" si="9"/>
        <v>0.4811540593</v>
      </c>
      <c r="AE148" s="26">
        <f>P148*(1-I148)*(1+'参数表'!$C$6)*(W148+X148+H148)*1.1+0.4*1.1</f>
        <v>12.841169</v>
      </c>
      <c r="AF148" s="26">
        <f t="shared" si="10"/>
        <v>19.1255735</v>
      </c>
    </row>
    <row r="149">
      <c r="A149" s="44" t="s">
        <v>471</v>
      </c>
      <c r="C149" s="30" t="s">
        <v>472</v>
      </c>
      <c r="D149" s="2" t="s">
        <v>364</v>
      </c>
      <c r="E149" s="14"/>
      <c r="F149" s="14"/>
      <c r="G149" s="13" t="s">
        <v>473</v>
      </c>
      <c r="H149" s="3">
        <v>0.05</v>
      </c>
      <c r="I149" s="3">
        <v>0.0</v>
      </c>
      <c r="J149" s="15">
        <v>9900.0</v>
      </c>
      <c r="K149" s="16">
        <v>350.0</v>
      </c>
      <c r="L149" s="16">
        <v>14.0</v>
      </c>
      <c r="M149" s="16">
        <v>13.0</v>
      </c>
      <c r="N149" s="16">
        <v>7.0</v>
      </c>
      <c r="O149" s="17">
        <f t="shared" si="12"/>
        <v>350</v>
      </c>
      <c r="P149" s="18">
        <v>129.0</v>
      </c>
      <c r="Q149" s="6">
        <f t="array" ref="Q149">XLOOKUP(K149/1000, '运费（邮政）'!$A$2:$A$21, '运费（邮政）'!$B$2:$B$21, "超出范围", 1)</f>
        <v>1420</v>
      </c>
      <c r="R149" s="18">
        <v>31.99</v>
      </c>
      <c r="S149" s="19">
        <f t="shared" si="2"/>
        <v>17.2765338</v>
      </c>
      <c r="T149" s="20">
        <f t="shared" si="3"/>
        <v>160.99</v>
      </c>
      <c r="U149" s="21">
        <f t="array" ref="U149">XLOOKUP(O149/1000, '运费（橙联）'!$A$2:$A$57, '运费（橙联）'!$B$2:$B$57, "超出范围", 1)</f>
        <v>1778</v>
      </c>
      <c r="V149" s="22">
        <f>(P149*'参数表'!$C$2*(1+'参数表'!$C$3))*$B$1+'参数表'!$C$4</f>
        <v>2095.2678</v>
      </c>
      <c r="W149" s="3">
        <v>0.127</v>
      </c>
      <c r="X149" s="4">
        <v>0.0135</v>
      </c>
      <c r="Y149" s="23">
        <f t="shared" si="4"/>
        <v>2713.12941</v>
      </c>
      <c r="Z149" s="24">
        <f t="shared" si="5"/>
        <v>0.148112753</v>
      </c>
      <c r="AA149" s="25">
        <f t="shared" si="6"/>
        <v>0.2740534758</v>
      </c>
      <c r="AB149" s="23">
        <f t="shared" si="7"/>
        <v>3850.543971</v>
      </c>
      <c r="AC149" s="24">
        <f t="shared" si="8"/>
        <v>0.1684359702</v>
      </c>
      <c r="AD149" s="25">
        <f t="shared" si="9"/>
        <v>0.3889438355</v>
      </c>
      <c r="AE149" s="26">
        <f>P149*(1-I149)*(1+'参数表'!$C$6)*(W149+X149+H149)*1.1+0.4*1.1</f>
        <v>30.175145</v>
      </c>
      <c r="AF149" s="26">
        <f t="shared" si="10"/>
        <v>36.8786495</v>
      </c>
    </row>
    <row r="150">
      <c r="A150" s="44" t="s">
        <v>474</v>
      </c>
      <c r="C150" s="30" t="s">
        <v>475</v>
      </c>
      <c r="D150" s="2" t="s">
        <v>61</v>
      </c>
      <c r="E150" s="14"/>
      <c r="F150" s="14"/>
      <c r="G150" s="13" t="s">
        <v>476</v>
      </c>
      <c r="H150" s="3">
        <v>0.05</v>
      </c>
      <c r="I150" s="3">
        <v>0.0</v>
      </c>
      <c r="J150" s="15">
        <v>5500.0</v>
      </c>
      <c r="K150" s="16">
        <v>520.0</v>
      </c>
      <c r="L150" s="16">
        <v>13.0</v>
      </c>
      <c r="M150" s="16">
        <v>21.0</v>
      </c>
      <c r="N150" s="16">
        <v>14.0</v>
      </c>
      <c r="O150" s="17">
        <f t="shared" si="12"/>
        <v>520</v>
      </c>
      <c r="P150" s="18">
        <v>79.8</v>
      </c>
      <c r="Q150" s="6">
        <f t="array" ref="Q150">XLOOKUP(K150/1000, '运费（邮政）'!$A$2:$A$21, '运费（邮政）'!$B$2:$B$21, "超出范围", 1)</f>
        <v>1780</v>
      </c>
      <c r="R150" s="18">
        <v>21.99</v>
      </c>
      <c r="S150" s="19">
        <f t="shared" si="2"/>
        <v>12.8447631</v>
      </c>
      <c r="T150" s="20">
        <f t="shared" si="3"/>
        <v>101.79</v>
      </c>
      <c r="U150" s="21">
        <f t="array" ref="U150">XLOOKUP(O150/1000, '运费（橙联）'!$A$2:$A$57, '运费（橙联）'!$B$2:$B$57, "超出范围", 1)</f>
        <v>2222</v>
      </c>
      <c r="V150" s="22">
        <f>(P150*'参数表'!$C$2*(1+'参数表'!$C$3))*$B$1+'参数表'!$C$4</f>
        <v>1381.95636</v>
      </c>
      <c r="W150" s="3">
        <v>0.127</v>
      </c>
      <c r="X150" s="4">
        <v>0.0135</v>
      </c>
      <c r="Y150" s="23">
        <f t="shared" si="4"/>
        <v>1377.129542</v>
      </c>
      <c r="Z150" s="24">
        <f t="shared" si="5"/>
        <v>0.1215300171</v>
      </c>
      <c r="AA150" s="25">
        <f t="shared" si="6"/>
        <v>0.2503871895</v>
      </c>
      <c r="AB150" s="23">
        <f t="shared" si="7"/>
        <v>2021.416543</v>
      </c>
      <c r="AC150" s="24">
        <f t="shared" si="8"/>
        <v>0.1398499633</v>
      </c>
      <c r="AD150" s="25">
        <f t="shared" si="9"/>
        <v>0.3675302805</v>
      </c>
      <c r="AE150" s="26">
        <f>P150*(1-I150)*(1+'参数表'!$C$6)*(W150+X150+H150)*1.1+0.4*1.1</f>
        <v>18.834299</v>
      </c>
      <c r="AF150" s="26">
        <f t="shared" si="10"/>
        <v>23.4423035</v>
      </c>
    </row>
    <row r="151">
      <c r="A151" s="44" t="s">
        <v>477</v>
      </c>
      <c r="C151" s="30" t="s">
        <v>478</v>
      </c>
      <c r="D151" s="2" t="s">
        <v>61</v>
      </c>
      <c r="E151" s="14"/>
      <c r="F151" s="14"/>
      <c r="G151" s="13" t="s">
        <v>479</v>
      </c>
      <c r="H151" s="3">
        <v>0.05</v>
      </c>
      <c r="I151" s="3">
        <v>0.0</v>
      </c>
      <c r="J151" s="15">
        <v>1880.0</v>
      </c>
      <c r="K151" s="16">
        <v>210.0</v>
      </c>
      <c r="L151" s="16">
        <v>9.0</v>
      </c>
      <c r="M151" s="16">
        <v>10.0</v>
      </c>
      <c r="N151" s="16">
        <v>17.0</v>
      </c>
      <c r="O151" s="17">
        <f t="shared" si="12"/>
        <v>210</v>
      </c>
      <c r="P151" s="18">
        <v>35.8</v>
      </c>
      <c r="Q151" s="6">
        <f t="array" ref="Q151">XLOOKUP(K151/1000, '运费（邮政）'!$A$2:$A$21, '运费（邮政）'!$B$2:$B$21, "超出范围", 1)</f>
        <v>1240</v>
      </c>
      <c r="R151" s="18">
        <v>12.99</v>
      </c>
      <c r="S151" s="19">
        <f t="shared" si="2"/>
        <v>7.641095493</v>
      </c>
      <c r="T151" s="20">
        <f t="shared" si="3"/>
        <v>48.79</v>
      </c>
      <c r="U151" s="21">
        <f t="array" ref="U151">XLOOKUP(O151/1000, '运费（橙联）'!$A$2:$A$57, '运费（橙联）'!$B$2:$B$57, "超出范围", 1)</f>
        <v>1581</v>
      </c>
      <c r="V151" s="22">
        <f>(P151*'参数表'!$C$2*(1+'参数表'!$C$3))*$B$1+'参数表'!$C$4</f>
        <v>744.03556</v>
      </c>
      <c r="W151" s="3">
        <v>0.127</v>
      </c>
      <c r="X151" s="4">
        <v>0.0135</v>
      </c>
      <c r="Y151" s="23">
        <f t="shared" si="4"/>
        <v>729.324782</v>
      </c>
      <c r="Z151" s="24">
        <f t="shared" si="5"/>
        <v>0.1434662015</v>
      </c>
      <c r="AA151" s="25">
        <f t="shared" si="6"/>
        <v>0.3879387138</v>
      </c>
      <c r="AB151" s="23">
        <f t="shared" si="7"/>
        <v>1102.337483</v>
      </c>
      <c r="AC151" s="24">
        <f t="shared" si="8"/>
        <v>0.1591092441</v>
      </c>
      <c r="AD151" s="25">
        <f t="shared" si="9"/>
        <v>0.586349725</v>
      </c>
      <c r="AE151" s="26">
        <f>P151*(1-I151)*(1+'参数表'!$C$6)*(W151+X151+H151)*1.1+0.4*1.1</f>
        <v>8.692079</v>
      </c>
      <c r="AF151" s="26">
        <f t="shared" si="10"/>
        <v>11.4141335</v>
      </c>
    </row>
    <row r="152">
      <c r="A152" s="44" t="s">
        <v>480</v>
      </c>
      <c r="C152" s="30" t="s">
        <v>481</v>
      </c>
      <c r="D152" s="2" t="s">
        <v>482</v>
      </c>
      <c r="E152" s="14"/>
      <c r="F152" s="14"/>
      <c r="G152" s="13" t="s">
        <v>483</v>
      </c>
      <c r="H152" s="3">
        <v>0.05</v>
      </c>
      <c r="I152" s="3">
        <v>0.0</v>
      </c>
      <c r="J152" s="15">
        <v>1980.0</v>
      </c>
      <c r="K152" s="16">
        <v>400.0</v>
      </c>
      <c r="L152" s="16">
        <v>9.0</v>
      </c>
      <c r="M152" s="16">
        <v>13.0</v>
      </c>
      <c r="N152" s="16">
        <v>9.0</v>
      </c>
      <c r="O152" s="17">
        <f t="shared" si="12"/>
        <v>400</v>
      </c>
      <c r="P152" s="18">
        <v>36.8</v>
      </c>
      <c r="Q152" s="6">
        <f t="array" ref="Q152">XLOOKUP(K152/1000, '运费（邮政）'!$A$2:$A$21, '运费（邮政）'!$B$2:$B$21, "超出范围", 1)</f>
        <v>1420</v>
      </c>
      <c r="R152" s="18">
        <v>12.99</v>
      </c>
      <c r="S152" s="19">
        <f t="shared" si="2"/>
        <v>7.862913803</v>
      </c>
      <c r="T152" s="20">
        <f t="shared" si="3"/>
        <v>49.79</v>
      </c>
      <c r="U152" s="21">
        <f t="array" ref="U152">XLOOKUP(O152/1000, '运费（橙联）'!$A$2:$A$57, '运费（橙联）'!$B$2:$B$57, "超出范围", 1)</f>
        <v>1778</v>
      </c>
      <c r="V152" s="22">
        <f>(P152*'参数表'!$C$2*(1+'参数表'!$C$3))*$B$1+'参数表'!$C$4</f>
        <v>758.53376</v>
      </c>
      <c r="W152" s="3">
        <v>0.127</v>
      </c>
      <c r="X152" s="4">
        <v>0.0135</v>
      </c>
      <c r="Y152" s="23">
        <f t="shared" si="4"/>
        <v>558.593072</v>
      </c>
      <c r="Z152" s="24">
        <f t="shared" si="5"/>
        <v>0.1068954899</v>
      </c>
      <c r="AA152" s="25">
        <f t="shared" si="6"/>
        <v>0.2821177131</v>
      </c>
      <c r="AB152" s="23">
        <f t="shared" si="7"/>
        <v>900.107573</v>
      </c>
      <c r="AC152" s="24">
        <f t="shared" si="8"/>
        <v>0.1273104183</v>
      </c>
      <c r="AD152" s="25">
        <f t="shared" si="9"/>
        <v>0.4545997843</v>
      </c>
      <c r="AE152" s="26">
        <f>P152*(1-I152)*(1+'参数表'!$C$6)*(W152+X152+H152)*1.1+0.4*1.1</f>
        <v>8.922584</v>
      </c>
      <c r="AF152" s="26">
        <f t="shared" si="10"/>
        <v>11.6446385</v>
      </c>
    </row>
    <row r="153">
      <c r="A153" s="44" t="s">
        <v>484</v>
      </c>
      <c r="C153" s="30" t="s">
        <v>485</v>
      </c>
      <c r="D153" s="2" t="s">
        <v>364</v>
      </c>
      <c r="E153" s="31"/>
      <c r="F153" s="31"/>
      <c r="G153" s="13" t="s">
        <v>486</v>
      </c>
      <c r="H153" s="3">
        <v>0.05</v>
      </c>
      <c r="I153" s="3">
        <v>0.0</v>
      </c>
      <c r="J153" s="15">
        <v>1496.0</v>
      </c>
      <c r="K153" s="16">
        <v>210.0</v>
      </c>
      <c r="L153" s="16">
        <v>9.0</v>
      </c>
      <c r="M153" s="16">
        <v>14.0</v>
      </c>
      <c r="N153" s="16">
        <v>9.0</v>
      </c>
      <c r="O153" s="17">
        <f t="shared" si="12"/>
        <v>210</v>
      </c>
      <c r="P153" s="18">
        <v>32.8</v>
      </c>
      <c r="Q153" s="6">
        <f t="array" ref="Q153">XLOOKUP(K153/1000, '运费（邮政）'!$A$2:$A$21, '运费（邮政）'!$B$2:$B$21, "超出范围", 1)</f>
        <v>1240</v>
      </c>
      <c r="R153" s="18">
        <v>12.99</v>
      </c>
      <c r="S153" s="19">
        <f t="shared" si="2"/>
        <v>7.334795493</v>
      </c>
      <c r="T153" s="20">
        <f t="shared" si="3"/>
        <v>45.79</v>
      </c>
      <c r="U153" s="21">
        <f t="array" ref="U153">XLOOKUP(O153/1000, '运费（橙联）'!$A$2:$A$57, '运费（橙联）'!$B$2:$B$57, "超出范围", 1)</f>
        <v>1581</v>
      </c>
      <c r="V153" s="22">
        <f>(P153*'参数表'!$C$2*(1+'参数表'!$C$3))*$B$1+'参数表'!$C$4</f>
        <v>700.54096</v>
      </c>
      <c r="W153" s="3">
        <v>0.127</v>
      </c>
      <c r="X153" s="4">
        <v>0.0135</v>
      </c>
      <c r="Y153" s="23">
        <f t="shared" si="4"/>
        <v>785.519912</v>
      </c>
      <c r="Z153" s="24">
        <f t="shared" si="5"/>
        <v>0.1686533648</v>
      </c>
      <c r="AA153" s="25">
        <f t="shared" si="6"/>
        <v>0.5250801551</v>
      </c>
      <c r="AB153" s="23">
        <f t="shared" si="7"/>
        <v>1202.027213</v>
      </c>
      <c r="AC153" s="24">
        <f t="shared" si="8"/>
        <v>0.1848652626</v>
      </c>
      <c r="AD153" s="25">
        <f t="shared" si="9"/>
        <v>0.8034941263</v>
      </c>
      <c r="AE153" s="26">
        <f>P153*(1-I153)*(1+'参数表'!$C$6)*(W153+X153+H153)*1.1+0.4*1.1</f>
        <v>8.000564</v>
      </c>
      <c r="AF153" s="26">
        <f t="shared" si="10"/>
        <v>10.7226185</v>
      </c>
    </row>
    <row r="154">
      <c r="A154" s="44" t="s">
        <v>487</v>
      </c>
      <c r="C154" s="30" t="s">
        <v>488</v>
      </c>
      <c r="D154" s="55" t="s">
        <v>364</v>
      </c>
      <c r="E154" s="14"/>
      <c r="F154" s="14"/>
      <c r="G154" s="13" t="s">
        <v>489</v>
      </c>
      <c r="H154" s="3">
        <v>0.05</v>
      </c>
      <c r="I154" s="3">
        <v>0.0</v>
      </c>
      <c r="J154" s="15">
        <v>3696.0</v>
      </c>
      <c r="K154" s="16">
        <v>580.0</v>
      </c>
      <c r="L154" s="16">
        <v>18.0</v>
      </c>
      <c r="M154" s="16">
        <v>40.0</v>
      </c>
      <c r="N154" s="16">
        <v>67.0</v>
      </c>
      <c r="O154" s="56">
        <f t="shared" si="12"/>
        <v>6030</v>
      </c>
      <c r="P154" s="18">
        <v>29.0</v>
      </c>
      <c r="Q154" s="6">
        <f t="array" ref="Q154">XLOOKUP(K154/1000, '运费（邮政）'!$A$2:$A$21, '运费（邮政）'!$B$2:$B$21, "超出范围", 1)</f>
        <v>1780</v>
      </c>
      <c r="R154" s="18">
        <v>13.8</v>
      </c>
      <c r="S154" s="19">
        <f t="shared" si="2"/>
        <v>48.5524493</v>
      </c>
      <c r="T154" s="20">
        <f t="shared" si="3"/>
        <v>42.8</v>
      </c>
      <c r="U154" s="21">
        <f t="array" ref="U154">XLOOKUP(O154/1000, '运费（橙联）'!$A$2:$A$57, '运费（橙联）'!$B$2:$B$57, "超出范围", 1)</f>
        <v>8029</v>
      </c>
      <c r="V154" s="22">
        <f>(P154*'参数表'!$C$2*(1+'参数表'!$C$3))*$B$1+'参数表'!$C$4</f>
        <v>645.4478</v>
      </c>
      <c r="W154" s="3">
        <v>0.127</v>
      </c>
      <c r="X154" s="4">
        <v>0.0135</v>
      </c>
      <c r="Y154" s="23">
        <f t="shared" si="4"/>
        <v>-2369.69959</v>
      </c>
      <c r="Z154" s="24">
        <f t="shared" si="5"/>
        <v>-0.5754491476</v>
      </c>
      <c r="AA154" s="25">
        <f t="shared" si="6"/>
        <v>-0.6411524865</v>
      </c>
      <c r="AB154" s="23">
        <f t="shared" si="7"/>
        <v>-7715.18157</v>
      </c>
      <c r="AC154" s="24">
        <f t="shared" si="8"/>
        <v>-1.269445434</v>
      </c>
      <c r="AD154" s="25">
        <f t="shared" si="9"/>
        <v>-2.087440901</v>
      </c>
      <c r="AE154" s="26">
        <f>P154*(1-I154)*(1+'参数表'!$C$6)*(W154+X154+H154)*1.1+0.4*1.1</f>
        <v>7.124645</v>
      </c>
      <c r="AF154" s="26">
        <f t="shared" si="10"/>
        <v>10.016435</v>
      </c>
    </row>
    <row r="155">
      <c r="A155" s="54" t="s">
        <v>490</v>
      </c>
      <c r="B155" s="44" t="s">
        <v>491</v>
      </c>
      <c r="C155" s="30" t="s">
        <v>492</v>
      </c>
      <c r="D155" s="2" t="s">
        <v>61</v>
      </c>
      <c r="E155" s="14"/>
      <c r="F155" s="14"/>
      <c r="G155" s="13" t="s">
        <v>493</v>
      </c>
      <c r="H155" s="3">
        <v>0.05</v>
      </c>
      <c r="I155" s="3">
        <v>0.0</v>
      </c>
      <c r="J155" s="15">
        <v>2430.0</v>
      </c>
      <c r="K155" s="16">
        <v>210.0</v>
      </c>
      <c r="L155" s="16">
        <v>8.0</v>
      </c>
      <c r="M155" s="16">
        <v>8.0</v>
      </c>
      <c r="N155" s="16">
        <v>10.0</v>
      </c>
      <c r="O155" s="17">
        <f t="shared" si="12"/>
        <v>210</v>
      </c>
      <c r="P155" s="18">
        <v>39.8</v>
      </c>
      <c r="Q155" s="6">
        <f t="array" ref="Q155">XLOOKUP(K155/1000, '运费（邮政）'!$A$2:$A$21, '运费（邮政）'!$B$2:$B$21, "超出范围", 1)</f>
        <v>1240</v>
      </c>
      <c r="R155" s="18">
        <v>13.0</v>
      </c>
      <c r="S155" s="19">
        <f t="shared" si="2"/>
        <v>8.049495493</v>
      </c>
      <c r="T155" s="20">
        <f t="shared" si="3"/>
        <v>52.8</v>
      </c>
      <c r="U155" s="21">
        <f t="array" ref="U155">XLOOKUP(O155/1000, '运费（橙联）'!$A$2:$A$57, '运费（橙联）'!$B$2:$B$57, "超出范围", 1)</f>
        <v>1581</v>
      </c>
      <c r="V155" s="22">
        <f>(P155*'参数表'!$C$2*(1+'参数表'!$C$3))*$B$1+'参数表'!$C$4</f>
        <v>802.02836</v>
      </c>
      <c r="W155" s="3">
        <v>0.127</v>
      </c>
      <c r="X155" s="4">
        <v>0.0135</v>
      </c>
      <c r="Y155" s="23">
        <f t="shared" si="4"/>
        <v>616.397942</v>
      </c>
      <c r="Z155" s="24">
        <f t="shared" si="5"/>
        <v>0.1090660949</v>
      </c>
      <c r="AA155" s="25">
        <f t="shared" si="6"/>
        <v>0.2536617045</v>
      </c>
      <c r="AB155" s="23">
        <f t="shared" si="7"/>
        <v>932.540282</v>
      </c>
      <c r="AC155" s="24">
        <f t="shared" si="8"/>
        <v>0.1243785054</v>
      </c>
      <c r="AD155" s="25">
        <f t="shared" si="9"/>
        <v>0.3837614329</v>
      </c>
      <c r="AE155" s="26">
        <f>P155*(1-I155)*(1+'参数表'!$C$6)*(W155+X155+H155)*1.1+0.4*1.1</f>
        <v>9.614099</v>
      </c>
      <c r="AF155" s="26">
        <f t="shared" si="10"/>
        <v>12.338249</v>
      </c>
    </row>
    <row r="156">
      <c r="A156" s="44" t="s">
        <v>494</v>
      </c>
      <c r="B156" s="44" t="s">
        <v>495</v>
      </c>
      <c r="C156" s="30" t="s">
        <v>496</v>
      </c>
      <c r="D156" s="2" t="s">
        <v>61</v>
      </c>
      <c r="E156" s="31" t="s">
        <v>61</v>
      </c>
      <c r="F156" s="14"/>
      <c r="G156" s="13" t="s">
        <v>497</v>
      </c>
      <c r="H156" s="3">
        <v>0.05</v>
      </c>
      <c r="I156" s="3">
        <v>0.0</v>
      </c>
      <c r="J156" s="15">
        <v>2545.0</v>
      </c>
      <c r="K156" s="16">
        <v>210.0</v>
      </c>
      <c r="L156" s="16">
        <v>16.0</v>
      </c>
      <c r="M156" s="16">
        <v>16.0</v>
      </c>
      <c r="N156" s="16">
        <v>7.0</v>
      </c>
      <c r="O156" s="17">
        <f t="shared" si="12"/>
        <v>224</v>
      </c>
      <c r="P156" s="18">
        <v>41.8</v>
      </c>
      <c r="Q156" s="6">
        <f t="array" ref="Q156">XLOOKUP(K156/1000, '运费（邮政）'!$A$2:$A$21, '运费（邮政）'!$B$2:$B$21, "超出范围", 1)</f>
        <v>1240</v>
      </c>
      <c r="R156" s="18">
        <v>15.99</v>
      </c>
      <c r="S156" s="19">
        <f t="shared" si="2"/>
        <v>8.253695493</v>
      </c>
      <c r="T156" s="20">
        <f t="shared" si="3"/>
        <v>57.79</v>
      </c>
      <c r="U156" s="21">
        <f t="array" ref="U156">XLOOKUP(O156/1000, '运费（橙联）'!$A$2:$A$57, '运费（橙联）'!$B$2:$B$57, "超出范围", 1)</f>
        <v>1581</v>
      </c>
      <c r="V156" s="22">
        <f>(P156*'参数表'!$C$2*(1+'参数表'!$C$3))*$B$1+'参数表'!$C$4</f>
        <v>831.02476</v>
      </c>
      <c r="W156" s="3">
        <v>0.127</v>
      </c>
      <c r="X156" s="4">
        <v>0.0135</v>
      </c>
      <c r="Y156" s="23">
        <f t="shared" si="4"/>
        <v>719.934522</v>
      </c>
      <c r="Z156" s="24">
        <f t="shared" si="5"/>
        <v>0.1212909431</v>
      </c>
      <c r="AA156" s="25">
        <f t="shared" si="6"/>
        <v>0.282881934</v>
      </c>
      <c r="AB156" s="23">
        <f t="shared" si="7"/>
        <v>1342.689723</v>
      </c>
      <c r="AC156" s="24">
        <f t="shared" si="8"/>
        <v>0.163619336</v>
      </c>
      <c r="AD156" s="25">
        <f t="shared" si="9"/>
        <v>0.5275794589</v>
      </c>
      <c r="AE156" s="26">
        <f>P156*(1-I156)*(1+'参数表'!$C$6)*(W156+X156+H156)*1.1+0.4*1.1</f>
        <v>10.075109</v>
      </c>
      <c r="AF156" s="26">
        <f t="shared" si="10"/>
        <v>13.4258135</v>
      </c>
    </row>
    <row r="157">
      <c r="A157" s="44" t="s">
        <v>498</v>
      </c>
      <c r="B157" s="44" t="s">
        <v>499</v>
      </c>
      <c r="C157" s="30" t="s">
        <v>500</v>
      </c>
      <c r="D157" s="2" t="s">
        <v>54</v>
      </c>
      <c r="E157" s="14"/>
      <c r="F157" s="14"/>
      <c r="G157" s="13"/>
      <c r="H157" s="3">
        <v>0.05</v>
      </c>
      <c r="I157" s="3">
        <v>0.0</v>
      </c>
      <c r="J157" s="15"/>
      <c r="K157" s="16"/>
      <c r="L157" s="16">
        <v>34.0</v>
      </c>
      <c r="M157" s="16">
        <v>24.0</v>
      </c>
      <c r="N157" s="16">
        <v>2.0</v>
      </c>
      <c r="O157" s="17">
        <f t="shared" si="12"/>
        <v>204</v>
      </c>
      <c r="P157" s="18"/>
      <c r="Q157" s="6">
        <f t="array" ref="Q157">XLOOKUP(K157/1000, '运费（邮政）'!$A$2:$A$21, '运费（邮政）'!$B$2:$B$21, "超出范围", 1)</f>
        <v>880</v>
      </c>
      <c r="R157" s="18"/>
      <c r="S157" s="19">
        <f t="shared" si="2"/>
        <v>6.521126761</v>
      </c>
      <c r="T157" s="20">
        <f t="shared" si="3"/>
        <v>0</v>
      </c>
      <c r="U157" s="21">
        <f t="array" ref="U157">XLOOKUP(O157/1000, '运费（橙联）'!$A$2:$A$57, '运费（橙联）'!$B$2:$B$57, "超出范围", 1)</f>
        <v>1581</v>
      </c>
      <c r="V157" s="22">
        <f>(P157*'参数表'!$C$2*(1+'参数表'!$C$3))*$B$1+'参数表'!$C$4</f>
        <v>225</v>
      </c>
      <c r="W157" s="3">
        <v>0.127</v>
      </c>
      <c r="X157" s="4">
        <v>0.0135</v>
      </c>
      <c r="Y157" s="23">
        <f t="shared" si="4"/>
        <v>-942.48</v>
      </c>
      <c r="Z157" s="24" t="str">
        <f t="shared" si="5"/>
        <v>#DIV/0!</v>
      </c>
      <c r="AA157" s="25" t="str">
        <f t="shared" si="6"/>
        <v>#DIV/0!</v>
      </c>
      <c r="AB157" s="23">
        <f t="shared" si="7"/>
        <v>-1868.48</v>
      </c>
      <c r="AC157" s="24" t="str">
        <f t="shared" si="8"/>
        <v>#DIV/0!</v>
      </c>
      <c r="AD157" s="25" t="str">
        <f t="shared" si="9"/>
        <v>#DIV/0!</v>
      </c>
      <c r="AE157" s="26">
        <f>P157*(1-I157)*(1+'参数表'!$C$6)*(W157+X157+H157)*1.1+0.4*1.1</f>
        <v>0.44</v>
      </c>
      <c r="AF157" s="26">
        <f t="shared" si="10"/>
        <v>0.44</v>
      </c>
    </row>
    <row r="158">
      <c r="B158" s="44" t="s">
        <v>501</v>
      </c>
      <c r="C158" s="30" t="s">
        <v>502</v>
      </c>
      <c r="E158" s="14"/>
      <c r="F158" s="14"/>
      <c r="G158" s="32"/>
      <c r="H158" s="3">
        <v>0.05</v>
      </c>
      <c r="I158" s="3">
        <v>0.0</v>
      </c>
      <c r="J158" s="15"/>
      <c r="K158" s="16">
        <v>2170.0</v>
      </c>
      <c r="L158" s="16">
        <v>45.0</v>
      </c>
      <c r="M158" s="16">
        <v>36.0</v>
      </c>
      <c r="N158" s="16">
        <v>20.0</v>
      </c>
      <c r="O158" s="17">
        <f t="shared" si="12"/>
        <v>4050</v>
      </c>
      <c r="P158" s="18"/>
      <c r="Q158" s="6" t="str">
        <f t="array" ref="Q158">XLOOKUP(K158/1000, '运费（邮政）'!$A$2:$A$21, '运费（邮政）'!$B$2:$B$21, "超出范围", 1)</f>
        <v>超出范围</v>
      </c>
      <c r="R158" s="18"/>
      <c r="S158" s="19" t="str">
        <f t="shared" si="2"/>
        <v>#VALUE!</v>
      </c>
      <c r="T158" s="20">
        <f t="shared" si="3"/>
        <v>0</v>
      </c>
      <c r="U158" s="21">
        <f t="array" ref="U158">XLOOKUP(O158/1000, '运费（橙联）'!$A$2:$A$57, '运费（橙联）'!$B$2:$B$57, "超出范围", 1)</f>
        <v>6231</v>
      </c>
      <c r="V158" s="22">
        <f>(P158*'参数表'!$C$2*(1+'参数表'!$C$3))*$B$1+'参数表'!$C$4</f>
        <v>225</v>
      </c>
      <c r="W158" s="3">
        <v>0.127</v>
      </c>
      <c r="X158" s="4">
        <v>0.0135</v>
      </c>
      <c r="Y158" s="23" t="str">
        <f t="shared" si="4"/>
        <v>#VALUE!</v>
      </c>
      <c r="Z158" s="24" t="str">
        <f t="shared" si="5"/>
        <v>#VALUE!</v>
      </c>
      <c r="AA158" s="25" t="str">
        <f t="shared" si="6"/>
        <v>#VALUE!</v>
      </c>
      <c r="AB158" s="23">
        <f t="shared" si="7"/>
        <v>-6518.48</v>
      </c>
      <c r="AC158" s="24" t="str">
        <f t="shared" si="8"/>
        <v>#DIV/0!</v>
      </c>
      <c r="AD158" s="25" t="str">
        <f t="shared" si="9"/>
        <v>#DIV/0!</v>
      </c>
      <c r="AE158" s="26">
        <f>P158*(1-I158)*(1+'参数表'!$C$6)*(W158+X158+H158)*1.1+0.4*1.1</f>
        <v>0.44</v>
      </c>
      <c r="AF158" s="26">
        <f t="shared" si="10"/>
        <v>0.44</v>
      </c>
    </row>
    <row r="159">
      <c r="A159" s="44" t="s">
        <v>503</v>
      </c>
      <c r="B159" s="44" t="s">
        <v>504</v>
      </c>
      <c r="C159" s="30" t="s">
        <v>505</v>
      </c>
      <c r="D159" s="2" t="s">
        <v>61</v>
      </c>
      <c r="E159" s="14"/>
      <c r="F159" s="14"/>
      <c r="G159" s="13" t="s">
        <v>506</v>
      </c>
      <c r="H159" s="3">
        <v>0.05</v>
      </c>
      <c r="I159" s="3">
        <v>0.0</v>
      </c>
      <c r="J159" s="15">
        <v>4000.0</v>
      </c>
      <c r="K159" s="16">
        <v>650.0</v>
      </c>
      <c r="L159" s="16">
        <v>50.0</v>
      </c>
      <c r="M159" s="16">
        <v>10.0</v>
      </c>
      <c r="N159" s="16">
        <v>5.0</v>
      </c>
      <c r="O159" s="17">
        <f t="shared" si="12"/>
        <v>650</v>
      </c>
      <c r="P159" s="18">
        <v>65.8</v>
      </c>
      <c r="Q159" s="6">
        <f t="array" ref="Q159">XLOOKUP(K159/1000, '运费（邮政）'!$A$2:$A$21, '运费（邮政）'!$B$2:$B$21, "超出范围", 1)</f>
        <v>1960</v>
      </c>
      <c r="R159" s="18">
        <v>30.0</v>
      </c>
      <c r="S159" s="19">
        <f t="shared" si="2"/>
        <v>10.84494056</v>
      </c>
      <c r="T159" s="20">
        <f t="shared" si="3"/>
        <v>95.8</v>
      </c>
      <c r="U159" s="21">
        <f t="array" ref="U159">XLOOKUP(O159/1000, '运费（橙联）'!$A$2:$A$57, '运费（橙联）'!$B$2:$B$57, "超出范围", 1)</f>
        <v>2321</v>
      </c>
      <c r="V159" s="22">
        <f>(P159*'参数表'!$C$2*(1+'参数表'!$C$3))*$B$1+'参数表'!$C$4</f>
        <v>1178.98156</v>
      </c>
      <c r="W159" s="3">
        <v>0.127</v>
      </c>
      <c r="X159" s="4">
        <v>0.0135</v>
      </c>
      <c r="Y159" s="23">
        <f t="shared" si="4"/>
        <v>1167.373482</v>
      </c>
      <c r="Z159" s="24">
        <f t="shared" si="5"/>
        <v>0.1249382981</v>
      </c>
      <c r="AA159" s="25">
        <f t="shared" si="6"/>
        <v>0.2918433705</v>
      </c>
      <c r="AB159" s="23">
        <f t="shared" si="7"/>
        <v>2994.708922</v>
      </c>
      <c r="AC159" s="24">
        <f t="shared" si="8"/>
        <v>0.2201409128</v>
      </c>
      <c r="AD159" s="25">
        <f t="shared" si="9"/>
        <v>0.7486772305</v>
      </c>
      <c r="AE159" s="26">
        <f>P159*(1-I159)*(1+'参数表'!$C$6)*(W159+X159+H159)*1.1+0.4*1.1</f>
        <v>15.607229</v>
      </c>
      <c r="AF159" s="26">
        <f t="shared" si="10"/>
        <v>21.893729</v>
      </c>
    </row>
    <row r="160">
      <c r="A160" s="44" t="s">
        <v>507</v>
      </c>
      <c r="B160" s="44" t="s">
        <v>508</v>
      </c>
      <c r="C160" s="30" t="s">
        <v>509</v>
      </c>
      <c r="D160" s="2" t="s">
        <v>61</v>
      </c>
      <c r="E160" s="14"/>
      <c r="F160" s="14"/>
      <c r="G160" s="13" t="s">
        <v>510</v>
      </c>
      <c r="H160" s="3">
        <v>0.05</v>
      </c>
      <c r="I160" s="3">
        <v>0.0</v>
      </c>
      <c r="J160" s="15"/>
      <c r="K160" s="16"/>
      <c r="L160" s="16">
        <v>34.0</v>
      </c>
      <c r="M160" s="16">
        <v>24.0</v>
      </c>
      <c r="N160" s="16">
        <v>2.0</v>
      </c>
      <c r="O160" s="17">
        <f t="shared" si="12"/>
        <v>204</v>
      </c>
      <c r="P160" s="18"/>
      <c r="Q160" s="6">
        <f t="array" ref="Q160">XLOOKUP(K160/1000, '运费（邮政）'!$A$2:$A$21, '运费（邮政）'!$B$2:$B$21, "超出范围", 1)</f>
        <v>880</v>
      </c>
      <c r="R160" s="18"/>
      <c r="S160" s="19">
        <f t="shared" si="2"/>
        <v>6.521126761</v>
      </c>
      <c r="T160" s="20">
        <f t="shared" si="3"/>
        <v>0</v>
      </c>
      <c r="U160" s="21">
        <f t="array" ref="U160">XLOOKUP(O160/1000, '运费（橙联）'!$A$2:$A$57, '运费（橙联）'!$B$2:$B$57, "超出范围", 1)</f>
        <v>1581</v>
      </c>
      <c r="V160" s="22">
        <f>(P160*'参数表'!$C$2*(1+'参数表'!$C$3))*$B$1+'参数表'!$C$4</f>
        <v>225</v>
      </c>
      <c r="W160" s="3">
        <v>0.127</v>
      </c>
      <c r="X160" s="4">
        <v>0.0135</v>
      </c>
      <c r="Y160" s="23">
        <f t="shared" si="4"/>
        <v>-942.48</v>
      </c>
      <c r="Z160" s="24" t="str">
        <f t="shared" si="5"/>
        <v>#DIV/0!</v>
      </c>
      <c r="AA160" s="25" t="str">
        <f t="shared" si="6"/>
        <v>#DIV/0!</v>
      </c>
      <c r="AB160" s="23">
        <f t="shared" si="7"/>
        <v>-1868.48</v>
      </c>
      <c r="AC160" s="24" t="str">
        <f t="shared" si="8"/>
        <v>#DIV/0!</v>
      </c>
      <c r="AD160" s="25" t="str">
        <f t="shared" si="9"/>
        <v>#DIV/0!</v>
      </c>
      <c r="AE160" s="26">
        <f>P160*(1-I160)*(1+'参数表'!$C$6)*(W160+X160+H160)*1.1+0.4*1.1</f>
        <v>0.44</v>
      </c>
      <c r="AF160" s="26">
        <f t="shared" si="10"/>
        <v>0.44</v>
      </c>
    </row>
    <row r="161">
      <c r="A161" s="44" t="s">
        <v>511</v>
      </c>
      <c r="C161" s="30" t="s">
        <v>512</v>
      </c>
      <c r="D161" s="2" t="s">
        <v>61</v>
      </c>
      <c r="E161" s="14"/>
      <c r="F161" s="14"/>
      <c r="G161" s="13" t="s">
        <v>513</v>
      </c>
      <c r="H161" s="3">
        <v>0.05</v>
      </c>
      <c r="I161" s="3">
        <v>0.0</v>
      </c>
      <c r="J161" s="15">
        <v>5090.0</v>
      </c>
      <c r="K161" s="16">
        <v>150.0</v>
      </c>
      <c r="L161" s="16">
        <v>34.0</v>
      </c>
      <c r="M161" s="16">
        <v>24.0</v>
      </c>
      <c r="N161" s="16">
        <v>2.0</v>
      </c>
      <c r="O161" s="17">
        <f t="shared" si="12"/>
        <v>204</v>
      </c>
      <c r="P161" s="18">
        <v>75.38</v>
      </c>
      <c r="Q161" s="6">
        <f t="array" ref="Q161">XLOOKUP(K161/1000, '运费（邮政）'!$A$2:$A$21, '运费（邮政）'!$B$2:$B$21, "超出范围", 1)</f>
        <v>1060</v>
      </c>
      <c r="R161" s="18">
        <v>21.99</v>
      </c>
      <c r="S161" s="19">
        <f t="shared" si="2"/>
        <v>12.94981913</v>
      </c>
      <c r="T161" s="20">
        <f t="shared" si="3"/>
        <v>97.37</v>
      </c>
      <c r="U161" s="21">
        <f t="array" ref="U161">XLOOKUP(O161/1000, '运费（橙联）'!$A$2:$A$57, '运费（橙联）'!$B$2:$B$57, "超出范围", 1)</f>
        <v>1581</v>
      </c>
      <c r="V161" s="22">
        <f>(P161*'参数表'!$C$2*(1+'参数表'!$C$3))*$B$1+'参数表'!$C$4</f>
        <v>1317.874316</v>
      </c>
      <c r="W161" s="3">
        <v>0.127</v>
      </c>
      <c r="X161" s="4">
        <v>0.0135</v>
      </c>
      <c r="Y161" s="23">
        <f t="shared" si="4"/>
        <v>2024.1637</v>
      </c>
      <c r="Z161" s="24">
        <f t="shared" si="5"/>
        <v>0.1891041914</v>
      </c>
      <c r="AA161" s="25">
        <f t="shared" si="6"/>
        <v>0.3976745973</v>
      </c>
      <c r="AB161" s="23">
        <f t="shared" si="7"/>
        <v>2653.532745</v>
      </c>
      <c r="AC161" s="24">
        <f t="shared" si="8"/>
        <v>0.1919158911</v>
      </c>
      <c r="AD161" s="25">
        <f t="shared" si="9"/>
        <v>0.5213227397</v>
      </c>
      <c r="AE161" s="26">
        <f>P161*(1-I161)*(1+'参数表'!$C$6)*(W161+X161+H161)*1.1+0.4*1.1</f>
        <v>17.8154669</v>
      </c>
      <c r="AF161" s="26">
        <f t="shared" si="10"/>
        <v>22.4234714</v>
      </c>
    </row>
    <row r="162">
      <c r="A162" s="44" t="s">
        <v>514</v>
      </c>
      <c r="C162" s="30" t="s">
        <v>515</v>
      </c>
      <c r="D162" s="2" t="s">
        <v>61</v>
      </c>
      <c r="E162" s="14"/>
      <c r="F162" s="14"/>
      <c r="G162" s="13" t="s">
        <v>516</v>
      </c>
      <c r="H162" s="3">
        <v>0.05</v>
      </c>
      <c r="I162" s="3">
        <v>0.0</v>
      </c>
      <c r="J162" s="15">
        <v>6190.0</v>
      </c>
      <c r="K162" s="16">
        <v>210.0</v>
      </c>
      <c r="L162" s="16">
        <v>34.0</v>
      </c>
      <c r="M162" s="16">
        <v>24.0</v>
      </c>
      <c r="N162" s="16">
        <v>2.0</v>
      </c>
      <c r="O162" s="17">
        <f t="shared" si="12"/>
        <v>210</v>
      </c>
      <c r="P162" s="18">
        <v>88.38</v>
      </c>
      <c r="Q162" s="6">
        <f t="array" ref="Q162">XLOOKUP(K162/1000, '运费（邮政）'!$A$2:$A$21, '运费（邮政）'!$B$2:$B$21, "超出范围", 1)</f>
        <v>1240</v>
      </c>
      <c r="R162" s="18">
        <v>25.99</v>
      </c>
      <c r="S162" s="19">
        <f t="shared" si="2"/>
        <v>13.00951349</v>
      </c>
      <c r="T162" s="20">
        <f t="shared" si="3"/>
        <v>114.37</v>
      </c>
      <c r="U162" s="21">
        <f t="array" ref="U162">XLOOKUP(O162/1000, '运费（橙联）'!$A$2:$A$57, '运费（橙联）'!$B$2:$B$57, "超出范围", 1)</f>
        <v>1581</v>
      </c>
      <c r="V162" s="22">
        <f>(P162*'参数表'!$C$2*(1+'参数表'!$C$3))*$B$1+'参数表'!$C$4</f>
        <v>1506.350916</v>
      </c>
      <c r="W162" s="3">
        <v>0.127</v>
      </c>
      <c r="X162" s="4">
        <v>0.0135</v>
      </c>
      <c r="Y162" s="23">
        <f t="shared" si="4"/>
        <v>2164.65147</v>
      </c>
      <c r="Z162" s="24">
        <f t="shared" si="5"/>
        <v>0.1724827386</v>
      </c>
      <c r="AA162" s="25">
        <f t="shared" si="6"/>
        <v>0.3497013684</v>
      </c>
      <c r="AB162" s="23">
        <f t="shared" si="7"/>
        <v>3234.519515</v>
      </c>
      <c r="AC162" s="24">
        <f t="shared" si="8"/>
        <v>0.1991632985</v>
      </c>
      <c r="AD162" s="25">
        <f t="shared" si="9"/>
        <v>0.5225395016</v>
      </c>
      <c r="AE162" s="26">
        <f>P162*(1-I162)*(1+'参数表'!$C$6)*(W162+X162+H162)*1.1+0.4*1.1</f>
        <v>20.8120319</v>
      </c>
      <c r="AF162" s="26">
        <f t="shared" si="10"/>
        <v>26.2582364</v>
      </c>
    </row>
    <row r="163">
      <c r="A163" s="44" t="s">
        <v>517</v>
      </c>
      <c r="C163" s="30" t="s">
        <v>518</v>
      </c>
      <c r="D163" s="2" t="s">
        <v>61</v>
      </c>
      <c r="E163" s="14"/>
      <c r="F163" s="14"/>
      <c r="G163" s="13" t="s">
        <v>519</v>
      </c>
      <c r="H163" s="3">
        <v>0.05</v>
      </c>
      <c r="I163" s="3">
        <v>0.0</v>
      </c>
      <c r="J163" s="15">
        <v>3770.0</v>
      </c>
      <c r="K163" s="16">
        <v>210.0</v>
      </c>
      <c r="L163" s="16">
        <v>34.0</v>
      </c>
      <c r="M163" s="16">
        <v>24.0</v>
      </c>
      <c r="N163" s="16">
        <v>2.0</v>
      </c>
      <c r="O163" s="17">
        <f t="shared" si="12"/>
        <v>210</v>
      </c>
      <c r="P163" s="18">
        <v>59.37</v>
      </c>
      <c r="Q163" s="6">
        <f t="array" ref="Q163">XLOOKUP(K163/1000, '运费（邮政）'!$A$2:$A$21, '运费（邮政）'!$B$2:$B$21, "超出范围", 1)</f>
        <v>1240</v>
      </c>
      <c r="R163" s="18">
        <v>21.99</v>
      </c>
      <c r="S163" s="19">
        <f t="shared" si="2"/>
        <v>10.04759249</v>
      </c>
      <c r="T163" s="20">
        <f t="shared" si="3"/>
        <v>81.36</v>
      </c>
      <c r="U163" s="21">
        <f t="array" ref="U163">XLOOKUP(O163/1000, '运费（橙联）'!$A$2:$A$57, '运费（橙联）'!$B$2:$B$57, "超出范围", 1)</f>
        <v>1581</v>
      </c>
      <c r="V163" s="22">
        <f>(P163*'参数表'!$C$2*(1+'参数表'!$C$3))*$B$1+'参数表'!$C$4</f>
        <v>1085.758134</v>
      </c>
      <c r="W163" s="3">
        <v>0.127</v>
      </c>
      <c r="X163" s="4">
        <v>0.0135</v>
      </c>
      <c r="Y163" s="23">
        <f t="shared" si="4"/>
        <v>1414.778377</v>
      </c>
      <c r="Z163" s="24">
        <f t="shared" si="5"/>
        <v>0.1678158668</v>
      </c>
      <c r="AA163" s="25">
        <f t="shared" si="6"/>
        <v>0.3752727791</v>
      </c>
      <c r="AB163" s="23">
        <f t="shared" si="7"/>
        <v>2456.263604</v>
      </c>
      <c r="AC163" s="24">
        <f t="shared" si="8"/>
        <v>0.2126060843</v>
      </c>
      <c r="AD163" s="25">
        <f t="shared" si="9"/>
        <v>0.6515288075</v>
      </c>
      <c r="AE163" s="26">
        <f>P163*(1-I163)*(1+'参数表'!$C$6)*(W163+X163+H163)*1.1+0.4*1.1</f>
        <v>14.12508185</v>
      </c>
      <c r="AF163" s="26">
        <f t="shared" si="10"/>
        <v>18.73308635</v>
      </c>
    </row>
    <row r="164">
      <c r="A164" s="44" t="s">
        <v>520</v>
      </c>
      <c r="C164" s="30" t="s">
        <v>521</v>
      </c>
      <c r="D164" s="2" t="s">
        <v>61</v>
      </c>
      <c r="E164" s="14"/>
      <c r="F164" s="14"/>
      <c r="G164" s="13" t="s">
        <v>522</v>
      </c>
      <c r="H164" s="3">
        <v>0.05</v>
      </c>
      <c r="I164" s="3">
        <v>0.0</v>
      </c>
      <c r="J164" s="15">
        <v>1600.0</v>
      </c>
      <c r="K164" s="16">
        <v>30.0</v>
      </c>
      <c r="L164" s="16">
        <v>34.0</v>
      </c>
      <c r="M164" s="16">
        <v>24.0</v>
      </c>
      <c r="N164" s="16">
        <v>2.0</v>
      </c>
      <c r="O164" s="17">
        <f t="shared" si="12"/>
        <v>204</v>
      </c>
      <c r="P164" s="18">
        <v>32.98</v>
      </c>
      <c r="Q164" s="6">
        <f t="array" ref="Q164">XLOOKUP(K164/1000, '运费（邮政）'!$A$2:$A$21, '运费（邮政）'!$B$2:$B$21, "超出范围", 1)</f>
        <v>880</v>
      </c>
      <c r="R164" s="18">
        <v>15.99</v>
      </c>
      <c r="S164" s="19">
        <f t="shared" si="2"/>
        <v>9.888384761</v>
      </c>
      <c r="T164" s="20">
        <f t="shared" si="3"/>
        <v>48.97</v>
      </c>
      <c r="U164" s="21">
        <f t="array" ref="U164">XLOOKUP(O164/1000, '运费（橙联）'!$A$2:$A$57, '运费（橙联）'!$B$2:$B$57, "超出范围", 1)</f>
        <v>1581</v>
      </c>
      <c r="V164" s="22">
        <f>(P164*'参数表'!$C$2*(1+'参数表'!$C$3))*$B$1+'参数表'!$C$4</f>
        <v>703.150636</v>
      </c>
      <c r="W164" s="3">
        <v>0.127</v>
      </c>
      <c r="X164" s="4">
        <v>0.0135</v>
      </c>
      <c r="Y164" s="23">
        <f t="shared" si="4"/>
        <v>1061.188204</v>
      </c>
      <c r="Z164" s="24">
        <f t="shared" si="5"/>
        <v>0.2265966151</v>
      </c>
      <c r="AA164" s="25">
        <f t="shared" si="6"/>
        <v>0.6632426276</v>
      </c>
      <c r="AB164" s="23">
        <f t="shared" si="7"/>
        <v>1451.817529</v>
      </c>
      <c r="AC164" s="24">
        <f t="shared" si="8"/>
        <v>0.2087822566</v>
      </c>
      <c r="AD164" s="25">
        <f t="shared" si="9"/>
        <v>0.9073859558</v>
      </c>
      <c r="AE164" s="26">
        <f>P164*(1-I164)*(1+'参数表'!$C$6)*(W164+X164+H164)*1.1+0.4*1.1</f>
        <v>8.0420549</v>
      </c>
      <c r="AF164" s="26">
        <f t="shared" si="10"/>
        <v>11.3927594</v>
      </c>
    </row>
    <row r="165">
      <c r="A165" s="44" t="s">
        <v>523</v>
      </c>
      <c r="C165" s="30" t="s">
        <v>524</v>
      </c>
      <c r="D165" s="2" t="s">
        <v>61</v>
      </c>
      <c r="E165" s="14"/>
      <c r="F165" s="14"/>
      <c r="G165" s="13" t="s">
        <v>525</v>
      </c>
      <c r="H165" s="3">
        <v>0.05</v>
      </c>
      <c r="I165" s="3">
        <v>0.0</v>
      </c>
      <c r="J165" s="15">
        <v>4980.0</v>
      </c>
      <c r="K165" s="16">
        <v>100.0</v>
      </c>
      <c r="L165" s="16">
        <v>34.0</v>
      </c>
      <c r="M165" s="16">
        <v>24.0</v>
      </c>
      <c r="N165" s="16">
        <v>2.0</v>
      </c>
      <c r="O165" s="17">
        <f t="shared" si="12"/>
        <v>204</v>
      </c>
      <c r="P165" s="18">
        <v>71.28</v>
      </c>
      <c r="Q165" s="6">
        <f t="array" ref="Q165">XLOOKUP(K165/1000, '运费（邮政）'!$A$2:$A$21, '运费（邮政）'!$B$2:$B$21, "超出范围", 1)</f>
        <v>880</v>
      </c>
      <c r="R165" s="18">
        <v>24.99</v>
      </c>
      <c r="S165" s="19">
        <f t="shared" si="2"/>
        <v>13.79881476</v>
      </c>
      <c r="T165" s="20">
        <f t="shared" si="3"/>
        <v>96.27</v>
      </c>
      <c r="U165" s="21">
        <f t="array" ref="U165">XLOOKUP(O165/1000, '运费（橙联）'!$A$2:$A$57, '运费（橙联）'!$B$2:$B$57, "超出范围", 1)</f>
        <v>1581</v>
      </c>
      <c r="V165" s="22">
        <f>(P165*'参数表'!$C$2*(1+'参数表'!$C$3))*$B$1+'参数表'!$C$4</f>
        <v>1258.431696</v>
      </c>
      <c r="W165" s="3">
        <v>0.127</v>
      </c>
      <c r="X165" s="4">
        <v>0.0135</v>
      </c>
      <c r="Y165" s="23">
        <f t="shared" si="4"/>
        <v>1866.163711</v>
      </c>
      <c r="Z165" s="24">
        <f t="shared" si="5"/>
        <v>0.1843714642</v>
      </c>
      <c r="AA165" s="25">
        <f t="shared" si="6"/>
        <v>0.3747316689</v>
      </c>
      <c r="AB165" s="23">
        <f t="shared" si="7"/>
        <v>2711.707076</v>
      </c>
      <c r="AC165" s="24">
        <f t="shared" si="8"/>
        <v>0.1983642745</v>
      </c>
      <c r="AD165" s="25">
        <f t="shared" si="9"/>
        <v>0.5445194932</v>
      </c>
      <c r="AE165" s="26">
        <f>P165*(1-I165)*(1+'参数表'!$C$6)*(W165+X165+H165)*1.1+0.4*1.1</f>
        <v>16.8703964</v>
      </c>
      <c r="AF165" s="26">
        <f t="shared" si="10"/>
        <v>22.1070509</v>
      </c>
    </row>
    <row r="166">
      <c r="A166" s="44" t="s">
        <v>526</v>
      </c>
      <c r="C166" s="30" t="s">
        <v>527</v>
      </c>
      <c r="D166" s="2" t="s">
        <v>61</v>
      </c>
      <c r="E166" s="14"/>
      <c r="F166" s="14"/>
      <c r="G166" s="13" t="s">
        <v>528</v>
      </c>
      <c r="H166" s="3">
        <v>0.05</v>
      </c>
      <c r="I166" s="3">
        <v>0.0</v>
      </c>
      <c r="J166" s="15">
        <v>1600.0</v>
      </c>
      <c r="K166" s="16">
        <v>100.0</v>
      </c>
      <c r="L166" s="16">
        <v>34.0</v>
      </c>
      <c r="M166" s="16">
        <v>24.0</v>
      </c>
      <c r="N166" s="16">
        <v>2.0</v>
      </c>
      <c r="O166" s="17">
        <f t="shared" si="12"/>
        <v>204</v>
      </c>
      <c r="P166" s="18">
        <v>32.98</v>
      </c>
      <c r="Q166" s="6">
        <f t="array" ref="Q166">XLOOKUP(K166/1000, '运费（邮政）'!$A$2:$A$21, '运费（邮政）'!$B$2:$B$21, "超出范围", 1)</f>
        <v>880</v>
      </c>
      <c r="R166" s="18">
        <v>15.99</v>
      </c>
      <c r="S166" s="19">
        <f t="shared" si="2"/>
        <v>9.888384761</v>
      </c>
      <c r="T166" s="20">
        <f t="shared" si="3"/>
        <v>48.97</v>
      </c>
      <c r="U166" s="21">
        <f t="array" ref="U166">XLOOKUP(O166/1000, '运费（橙联）'!$A$2:$A$57, '运费（橙联）'!$B$2:$B$57, "超出范围", 1)</f>
        <v>1581</v>
      </c>
      <c r="V166" s="22">
        <f>(P166*'参数表'!$C$2*(1+'参数表'!$C$3))*$B$1+'参数表'!$C$4</f>
        <v>703.150636</v>
      </c>
      <c r="W166" s="3">
        <v>0.127</v>
      </c>
      <c r="X166" s="4">
        <v>0.0135</v>
      </c>
      <c r="Y166" s="23">
        <f t="shared" si="4"/>
        <v>1061.188204</v>
      </c>
      <c r="Z166" s="24">
        <f t="shared" si="5"/>
        <v>0.2265966151</v>
      </c>
      <c r="AA166" s="25">
        <f t="shared" si="6"/>
        <v>0.6632426276</v>
      </c>
      <c r="AB166" s="23">
        <f t="shared" si="7"/>
        <v>1451.817529</v>
      </c>
      <c r="AC166" s="24">
        <f t="shared" si="8"/>
        <v>0.2087822566</v>
      </c>
      <c r="AD166" s="25">
        <f t="shared" si="9"/>
        <v>0.9073859558</v>
      </c>
      <c r="AE166" s="26">
        <f>P166*(1-I166)*(1+'参数表'!$C$6)*(W166+X166+H166)*1.1+0.4*1.1</f>
        <v>8.0420549</v>
      </c>
      <c r="AF166" s="26">
        <f t="shared" si="10"/>
        <v>11.3927594</v>
      </c>
    </row>
    <row r="167">
      <c r="A167" s="44" t="s">
        <v>529</v>
      </c>
      <c r="C167" s="30" t="s">
        <v>530</v>
      </c>
      <c r="D167" s="2" t="s">
        <v>531</v>
      </c>
      <c r="E167" s="14"/>
      <c r="F167" s="14"/>
      <c r="G167" s="13" t="s">
        <v>532</v>
      </c>
      <c r="H167" s="3">
        <v>0.05</v>
      </c>
      <c r="I167" s="3">
        <v>0.0</v>
      </c>
      <c r="J167" s="15"/>
      <c r="K167" s="16"/>
      <c r="L167" s="16">
        <v>34.0</v>
      </c>
      <c r="M167" s="16">
        <v>24.0</v>
      </c>
      <c r="N167" s="16">
        <v>2.0</v>
      </c>
      <c r="O167" s="17">
        <f t="shared" si="12"/>
        <v>204</v>
      </c>
      <c r="P167" s="18"/>
      <c r="Q167" s="6">
        <f t="array" ref="Q167">XLOOKUP(K167/1000, '运费（邮政）'!$A$2:$A$21, '运费（邮政）'!$B$2:$B$21, "超出范围", 1)</f>
        <v>880</v>
      </c>
      <c r="R167" s="18"/>
      <c r="S167" s="19">
        <f t="shared" si="2"/>
        <v>6.521126761</v>
      </c>
      <c r="T167" s="20">
        <f t="shared" si="3"/>
        <v>0</v>
      </c>
      <c r="U167" s="21">
        <f t="array" ref="U167">XLOOKUP(O167/1000, '运费（橙联）'!$A$2:$A$57, '运费（橙联）'!$B$2:$B$57, "超出范围", 1)</f>
        <v>1581</v>
      </c>
      <c r="V167" s="22">
        <f>(P167*'参数表'!$C$2*(1+'参数表'!$C$3))*$B$1+'参数表'!$C$4</f>
        <v>225</v>
      </c>
      <c r="W167" s="3">
        <v>0.127</v>
      </c>
      <c r="X167" s="4">
        <v>0.0135</v>
      </c>
      <c r="Y167" s="23">
        <f t="shared" si="4"/>
        <v>-942.48</v>
      </c>
      <c r="Z167" s="24" t="str">
        <f t="shared" si="5"/>
        <v>#DIV/0!</v>
      </c>
      <c r="AA167" s="25" t="str">
        <f t="shared" si="6"/>
        <v>#DIV/0!</v>
      </c>
      <c r="AB167" s="23">
        <f t="shared" si="7"/>
        <v>-1868.48</v>
      </c>
      <c r="AC167" s="24" t="str">
        <f t="shared" si="8"/>
        <v>#DIV/0!</v>
      </c>
      <c r="AD167" s="25" t="str">
        <f t="shared" si="9"/>
        <v>#DIV/0!</v>
      </c>
      <c r="AE167" s="26">
        <f>P167*(1-I167)*(1+'参数表'!$C$6)*(W167+X167+H167)*1.1+0.4*1.1</f>
        <v>0.44</v>
      </c>
      <c r="AF167" s="26">
        <f t="shared" si="10"/>
        <v>0.44</v>
      </c>
    </row>
    <row r="168">
      <c r="A168" s="44" t="s">
        <v>533</v>
      </c>
      <c r="C168" s="30" t="s">
        <v>534</v>
      </c>
      <c r="D168" s="2" t="s">
        <v>61</v>
      </c>
      <c r="E168" s="14"/>
      <c r="F168" s="14"/>
      <c r="G168" s="13" t="s">
        <v>535</v>
      </c>
      <c r="H168" s="3">
        <v>0.05</v>
      </c>
      <c r="I168" s="3">
        <v>0.0</v>
      </c>
      <c r="J168" s="15">
        <v>990.0</v>
      </c>
      <c r="K168" s="16">
        <v>210.0</v>
      </c>
      <c r="L168" s="16">
        <v>34.0</v>
      </c>
      <c r="M168" s="16">
        <v>24.0</v>
      </c>
      <c r="N168" s="16">
        <v>2.0</v>
      </c>
      <c r="O168" s="17">
        <f t="shared" si="12"/>
        <v>210</v>
      </c>
      <c r="P168" s="18">
        <v>24.8</v>
      </c>
      <c r="Q168" s="6">
        <f t="array" ref="Q168">XLOOKUP(K168/1000, '运费（邮政）'!$A$2:$A$21, '运费（邮政）'!$B$2:$B$21, "超出范围", 1)</f>
        <v>1240</v>
      </c>
      <c r="R168" s="18">
        <v>9.99</v>
      </c>
      <c r="S168" s="19">
        <f t="shared" si="2"/>
        <v>6.517995493</v>
      </c>
      <c r="T168" s="20">
        <f t="shared" si="3"/>
        <v>34.79</v>
      </c>
      <c r="U168" s="21">
        <f t="array" ref="U168">XLOOKUP(O168/1000, '运费（橙联）'!$A$2:$A$57, '运费（橙联）'!$B$2:$B$57, "超出范围", 1)</f>
        <v>1581</v>
      </c>
      <c r="V168" s="22">
        <f>(P168*'参数表'!$C$2*(1+'参数表'!$C$3))*$B$1+'参数表'!$C$4</f>
        <v>584.55536</v>
      </c>
      <c r="W168" s="3">
        <v>0.127</v>
      </c>
      <c r="X168" s="4">
        <v>0.0135</v>
      </c>
      <c r="Y168" s="23">
        <f t="shared" si="4"/>
        <v>417.373592</v>
      </c>
      <c r="Z168" s="24">
        <f t="shared" si="5"/>
        <v>0.1185181713</v>
      </c>
      <c r="AA168" s="25">
        <f t="shared" si="6"/>
        <v>0.4215894869</v>
      </c>
      <c r="AB168" s="23">
        <f t="shared" si="7"/>
        <v>613.134793</v>
      </c>
      <c r="AC168" s="24">
        <f t="shared" si="8"/>
        <v>0.1241118326</v>
      </c>
      <c r="AD168" s="25">
        <f t="shared" si="9"/>
        <v>0.6193280737</v>
      </c>
      <c r="AE168" s="26">
        <f>P168*(1-I168)*(1+'参数表'!$C$6)*(W168+X168+H168)*1.1+0.4*1.1</f>
        <v>6.156524</v>
      </c>
      <c r="AF168" s="26">
        <f t="shared" si="10"/>
        <v>8.2499285</v>
      </c>
    </row>
    <row r="169">
      <c r="A169" s="44" t="s">
        <v>536</v>
      </c>
      <c r="C169" s="30" t="s">
        <v>537</v>
      </c>
      <c r="D169" s="2" t="s">
        <v>61</v>
      </c>
      <c r="E169" s="31"/>
      <c r="F169" s="31" t="s">
        <v>538</v>
      </c>
      <c r="G169" s="13" t="s">
        <v>539</v>
      </c>
      <c r="H169" s="3">
        <v>0.05</v>
      </c>
      <c r="I169" s="3">
        <v>0.0</v>
      </c>
      <c r="J169" s="15">
        <v>5500.0</v>
      </c>
      <c r="K169" s="16">
        <v>310.0</v>
      </c>
      <c r="L169" s="16">
        <v>27.0</v>
      </c>
      <c r="M169" s="16">
        <v>21.0</v>
      </c>
      <c r="N169" s="16">
        <v>6.0</v>
      </c>
      <c r="O169" s="17">
        <f t="shared" si="12"/>
        <v>425.25</v>
      </c>
      <c r="P169" s="18">
        <v>78.8</v>
      </c>
      <c r="Q169" s="6">
        <f t="array" ref="Q169">XLOOKUP(K169/1000, '运费（邮政）'!$A$2:$A$21, '运费（邮政）'!$B$2:$B$21, "超出范围", 1)</f>
        <v>1420</v>
      </c>
      <c r="R169" s="18">
        <v>24.99</v>
      </c>
      <c r="S169" s="19">
        <f t="shared" si="2"/>
        <v>14.1370293</v>
      </c>
      <c r="T169" s="20">
        <f t="shared" si="3"/>
        <v>103.79</v>
      </c>
      <c r="U169" s="21">
        <f t="array" ref="U169">XLOOKUP(O169/1000, '运费（橙联）'!$A$2:$A$57, '运费（橙联）'!$B$2:$B$57, "超出范围", 1)</f>
        <v>2060</v>
      </c>
      <c r="V169" s="22">
        <f>(P169*'参数表'!$C$2*(1+'参数表'!$C$3))*$B$1+'参数表'!$C$4</f>
        <v>1367.45816</v>
      </c>
      <c r="W169" s="3">
        <v>0.127</v>
      </c>
      <c r="X169" s="4">
        <v>0.0135</v>
      </c>
      <c r="Y169" s="23">
        <f t="shared" si="4"/>
        <v>1627.861252</v>
      </c>
      <c r="Z169" s="24">
        <f t="shared" si="5"/>
        <v>0.1454798431</v>
      </c>
      <c r="AA169" s="25">
        <f t="shared" si="6"/>
        <v>0.2959747731</v>
      </c>
      <c r="AB169" s="23">
        <f t="shared" si="7"/>
        <v>2425.378153</v>
      </c>
      <c r="AC169" s="24">
        <f t="shared" si="8"/>
        <v>0.1645642917</v>
      </c>
      <c r="AD169" s="25">
        <f t="shared" si="9"/>
        <v>0.440977846</v>
      </c>
      <c r="AE169" s="26">
        <f>P169*(1-I169)*(1+'参数表'!$C$6)*(W169+X169+H169)*1.1+0.4*1.1</f>
        <v>18.603794</v>
      </c>
      <c r="AF169" s="26">
        <f t="shared" si="10"/>
        <v>23.8404485</v>
      </c>
    </row>
    <row r="170">
      <c r="A170" s="44" t="s">
        <v>540</v>
      </c>
      <c r="C170" s="30" t="s">
        <v>541</v>
      </c>
      <c r="D170" s="2" t="s">
        <v>61</v>
      </c>
      <c r="E170" s="14"/>
      <c r="F170" s="14"/>
      <c r="G170" s="13" t="s">
        <v>542</v>
      </c>
      <c r="H170" s="3">
        <v>0.05</v>
      </c>
      <c r="I170" s="3">
        <v>0.0</v>
      </c>
      <c r="J170" s="15">
        <f>380+770+1320+880+880+880+1320+800</f>
        <v>7230</v>
      </c>
      <c r="K170" s="16">
        <v>200.0</v>
      </c>
      <c r="L170" s="16">
        <v>34.0</v>
      </c>
      <c r="M170" s="16">
        <v>24.0</v>
      </c>
      <c r="N170" s="16">
        <v>2.0</v>
      </c>
      <c r="O170" s="17">
        <f t="shared" si="12"/>
        <v>204</v>
      </c>
      <c r="P170" s="18">
        <v>109.83</v>
      </c>
      <c r="Q170" s="6">
        <f t="array" ref="Q170">XLOOKUP(K170/1000, '运费（邮政）'!$A$2:$A$21, '运费（邮政）'!$B$2:$B$21, "超出范围", 1)</f>
        <v>1060</v>
      </c>
      <c r="R170" s="18">
        <v>29.99</v>
      </c>
      <c r="S170" s="19">
        <f t="shared" si="2"/>
        <v>16.46716413</v>
      </c>
      <c r="T170" s="20">
        <f t="shared" si="3"/>
        <v>139.82</v>
      </c>
      <c r="U170" s="21">
        <f t="array" ref="U170">XLOOKUP(O170/1000, '运费（橙联）'!$A$2:$A$57, '运费（橙联）'!$B$2:$B$57, "超出范围", 1)</f>
        <v>1581</v>
      </c>
      <c r="V170" s="22">
        <f>(P170*'参数表'!$C$2*(1+'参数表'!$C$3))*$B$1+'参数表'!$C$4</f>
        <v>1817.337306</v>
      </c>
      <c r="W170" s="3">
        <v>0.127</v>
      </c>
      <c r="X170" s="4">
        <v>0.0135</v>
      </c>
      <c r="Y170" s="23">
        <f t="shared" si="4"/>
        <v>3648.456291</v>
      </c>
      <c r="Z170" s="24">
        <f t="shared" si="5"/>
        <v>0.2339374867</v>
      </c>
      <c r="AA170" s="25">
        <f t="shared" si="6"/>
        <v>0.5046274261</v>
      </c>
      <c r="AB170" s="23">
        <f t="shared" si="7"/>
        <v>4676.313546</v>
      </c>
      <c r="AC170" s="24">
        <f t="shared" si="8"/>
        <v>0.2355298636</v>
      </c>
      <c r="AD170" s="25">
        <f t="shared" si="9"/>
        <v>0.6467930215</v>
      </c>
      <c r="AE170" s="26">
        <f>P170*(1-I170)*(1+'参数表'!$C$6)*(W170+X170+H170)*1.1+0.4*1.1</f>
        <v>25.75636415</v>
      </c>
      <c r="AF170" s="26">
        <f t="shared" si="10"/>
        <v>32.04076865</v>
      </c>
    </row>
    <row r="171">
      <c r="A171" s="44" t="s">
        <v>543</v>
      </c>
      <c r="C171" s="30" t="s">
        <v>544</v>
      </c>
      <c r="D171" s="2" t="s">
        <v>61</v>
      </c>
      <c r="E171" s="14"/>
      <c r="F171" s="14"/>
      <c r="G171" s="13" t="s">
        <v>545</v>
      </c>
      <c r="H171" s="3">
        <v>0.05</v>
      </c>
      <c r="I171" s="3">
        <v>0.0</v>
      </c>
      <c r="J171" s="15">
        <v>490.0</v>
      </c>
      <c r="K171" s="16">
        <v>200.0</v>
      </c>
      <c r="L171" s="16">
        <v>18.0</v>
      </c>
      <c r="M171" s="16">
        <v>13.0</v>
      </c>
      <c r="N171" s="16">
        <v>1.0</v>
      </c>
      <c r="O171" s="17">
        <f t="shared" si="12"/>
        <v>200</v>
      </c>
      <c r="P171" s="18">
        <v>18.8</v>
      </c>
      <c r="Q171" s="6">
        <f t="array" ref="Q171">XLOOKUP(K171/1000, '运费（邮政）'!$A$2:$A$21, '运费（邮政）'!$B$2:$B$21, "超出范围", 1)</f>
        <v>1060</v>
      </c>
      <c r="R171" s="18">
        <v>9.99</v>
      </c>
      <c r="S171" s="19">
        <f t="shared" si="2"/>
        <v>5.665958873</v>
      </c>
      <c r="T171" s="20">
        <f t="shared" si="3"/>
        <v>28.79</v>
      </c>
      <c r="U171" s="21">
        <f t="array" ref="U171">XLOOKUP(O171/1000, '运费（橙联）'!$A$2:$A$57, '运费（橙联）'!$B$2:$B$57, "超出范围", 1)</f>
        <v>1367</v>
      </c>
      <c r="V171" s="22">
        <f>(P171*'参数表'!$C$2*(1+'参数表'!$C$3))*$B$1+'参数表'!$C$4</f>
        <v>497.56616</v>
      </c>
      <c r="W171" s="3">
        <v>0.127</v>
      </c>
      <c r="X171" s="4">
        <v>0.0135</v>
      </c>
      <c r="Y171" s="23">
        <f t="shared" si="4"/>
        <v>441.763852</v>
      </c>
      <c r="Z171" s="24">
        <f t="shared" si="5"/>
        <v>0.1654794171</v>
      </c>
      <c r="AA171" s="25">
        <f t="shared" si="6"/>
        <v>0.9015588816</v>
      </c>
      <c r="AB171" s="23">
        <f t="shared" si="7"/>
        <v>758.514253</v>
      </c>
      <c r="AC171" s="24">
        <f t="shared" si="8"/>
        <v>0.1855383699</v>
      </c>
      <c r="AD171" s="25">
        <f t="shared" si="9"/>
        <v>1.547988271</v>
      </c>
      <c r="AE171" s="26">
        <f>P171*(1-I171)*(1+'参数表'!$C$6)*(W171+X171+H171)*1.1+0.4*1.1</f>
        <v>4.773494</v>
      </c>
      <c r="AF171" s="26">
        <f t="shared" si="10"/>
        <v>6.8668985</v>
      </c>
    </row>
    <row r="172">
      <c r="A172" s="44" t="s">
        <v>546</v>
      </c>
      <c r="C172" s="30" t="s">
        <v>547</v>
      </c>
      <c r="D172" s="2" t="s">
        <v>61</v>
      </c>
      <c r="E172" s="14"/>
      <c r="F172" s="14"/>
      <c r="G172" s="13" t="s">
        <v>548</v>
      </c>
      <c r="H172" s="3">
        <v>0.05</v>
      </c>
      <c r="I172" s="3">
        <v>0.0</v>
      </c>
      <c r="J172" s="15">
        <v>590.0</v>
      </c>
      <c r="K172" s="16">
        <v>200.0</v>
      </c>
      <c r="L172" s="16">
        <v>15.0</v>
      </c>
      <c r="M172" s="16">
        <v>21.0</v>
      </c>
      <c r="N172" s="16">
        <v>1.0</v>
      </c>
      <c r="O172" s="17">
        <f t="shared" si="12"/>
        <v>200</v>
      </c>
      <c r="P172" s="18">
        <v>19.8</v>
      </c>
      <c r="Q172" s="6">
        <f t="array" ref="Q172">XLOOKUP(K172/1000, '运费（邮政）'!$A$2:$A$21, '运费（邮政）'!$B$2:$B$21, "超出范围", 1)</f>
        <v>1060</v>
      </c>
      <c r="R172" s="18">
        <v>9.99</v>
      </c>
      <c r="S172" s="19">
        <f t="shared" si="2"/>
        <v>5.768058873</v>
      </c>
      <c r="T172" s="20">
        <f t="shared" si="3"/>
        <v>29.79</v>
      </c>
      <c r="U172" s="21">
        <f t="array" ref="U172">XLOOKUP(O172/1000, '运费（橙联）'!$A$2:$A$57, '运费（橙联）'!$B$2:$B$57, "超出范围", 1)</f>
        <v>1367</v>
      </c>
      <c r="V172" s="22">
        <f>(P172*'参数表'!$C$2*(1+'参数表'!$C$3))*$B$1+'参数表'!$C$4</f>
        <v>512.06436</v>
      </c>
      <c r="W172" s="3">
        <v>0.127</v>
      </c>
      <c r="X172" s="4">
        <v>0.0135</v>
      </c>
      <c r="Y172" s="23">
        <f t="shared" si="4"/>
        <v>451.032142</v>
      </c>
      <c r="Z172" s="24">
        <f t="shared" si="5"/>
        <v>0.1604183177</v>
      </c>
      <c r="AA172" s="25">
        <f t="shared" si="6"/>
        <v>0.7644612576</v>
      </c>
      <c r="AB172" s="23">
        <f t="shared" si="7"/>
        <v>753.284343</v>
      </c>
      <c r="AC172" s="24">
        <f t="shared" si="8"/>
        <v>0.1780738274</v>
      </c>
      <c r="AD172" s="25">
        <f t="shared" si="9"/>
        <v>1.276753124</v>
      </c>
      <c r="AE172" s="26">
        <f>P172*(1-I172)*(1+'参数表'!$C$6)*(W172+X172+H172)*1.1+0.4*1.1</f>
        <v>5.003999</v>
      </c>
      <c r="AF172" s="26">
        <f t="shared" si="10"/>
        <v>7.0974035</v>
      </c>
    </row>
    <row r="173">
      <c r="A173" s="44" t="s">
        <v>549</v>
      </c>
      <c r="C173" s="30" t="s">
        <v>550</v>
      </c>
      <c r="D173" s="2" t="s">
        <v>61</v>
      </c>
      <c r="E173" s="14"/>
      <c r="F173" s="14"/>
      <c r="G173" s="13" t="s">
        <v>551</v>
      </c>
      <c r="H173" s="3">
        <v>0.05</v>
      </c>
      <c r="I173" s="3">
        <v>0.0</v>
      </c>
      <c r="J173" s="15">
        <v>690.0</v>
      </c>
      <c r="K173" s="16">
        <v>250.0</v>
      </c>
      <c r="L173" s="16">
        <v>18.0</v>
      </c>
      <c r="M173" s="16">
        <v>26.0</v>
      </c>
      <c r="N173" s="16">
        <v>1.0</v>
      </c>
      <c r="O173" s="17">
        <f t="shared" si="12"/>
        <v>250</v>
      </c>
      <c r="P173" s="18">
        <v>21.8</v>
      </c>
      <c r="Q173" s="6">
        <f t="array" ref="Q173">XLOOKUP(K173/1000, '运费（邮政）'!$A$2:$A$21, '运费（邮政）'!$B$2:$B$21, "超出范围", 1)</f>
        <v>1240</v>
      </c>
      <c r="R173" s="18">
        <v>9.99</v>
      </c>
      <c r="S173" s="19">
        <f t="shared" si="2"/>
        <v>6.211695493</v>
      </c>
      <c r="T173" s="20">
        <f t="shared" si="3"/>
        <v>31.79</v>
      </c>
      <c r="U173" s="21">
        <f t="array" ref="U173">XLOOKUP(O173/1000, '运费（橙联）'!$A$2:$A$57, '运费（橙联）'!$B$2:$B$57, "超出范围", 1)</f>
        <v>1581</v>
      </c>
      <c r="V173" s="22">
        <f>(P173*'参数表'!$C$2*(1+'参数表'!$C$3))*$B$1+'参数表'!$C$4</f>
        <v>541.06076</v>
      </c>
      <c r="W173" s="3">
        <v>0.127</v>
      </c>
      <c r="X173" s="4">
        <v>0.0135</v>
      </c>
      <c r="Y173" s="23">
        <f t="shared" si="4"/>
        <v>389.568722</v>
      </c>
      <c r="Z173" s="24">
        <f t="shared" si="5"/>
        <v>0.1258459497</v>
      </c>
      <c r="AA173" s="25">
        <f t="shared" si="6"/>
        <v>0.5645923507</v>
      </c>
      <c r="AB173" s="23">
        <f t="shared" si="7"/>
        <v>628.824523</v>
      </c>
      <c r="AC173" s="24">
        <f t="shared" si="8"/>
        <v>0.1392998336</v>
      </c>
      <c r="AD173" s="25">
        <f t="shared" si="9"/>
        <v>0.9113398884</v>
      </c>
      <c r="AE173" s="26">
        <f>P173*(1-I173)*(1+'参数表'!$C$6)*(W173+X173+H173)*1.1+0.4*1.1</f>
        <v>5.465009</v>
      </c>
      <c r="AF173" s="26">
        <f t="shared" si="10"/>
        <v>7.5584135</v>
      </c>
    </row>
    <row r="174">
      <c r="A174" s="44" t="s">
        <v>552</v>
      </c>
      <c r="C174" s="30" t="s">
        <v>553</v>
      </c>
      <c r="D174" s="2" t="s">
        <v>61</v>
      </c>
      <c r="E174" s="14"/>
      <c r="F174" s="14"/>
      <c r="G174" s="13" t="s">
        <v>554</v>
      </c>
      <c r="H174" s="3">
        <v>0.05</v>
      </c>
      <c r="I174" s="3">
        <v>0.0</v>
      </c>
      <c r="J174" s="15">
        <v>990.0</v>
      </c>
      <c r="K174" s="16">
        <v>210.0</v>
      </c>
      <c r="L174" s="16">
        <v>34.0</v>
      </c>
      <c r="M174" s="16">
        <v>24.0</v>
      </c>
      <c r="N174" s="16">
        <v>2.0</v>
      </c>
      <c r="O174" s="17">
        <f t="shared" si="12"/>
        <v>210</v>
      </c>
      <c r="P174" s="18">
        <v>24.8</v>
      </c>
      <c r="Q174" s="6">
        <f t="array" ref="Q174">XLOOKUP(K174/1000, '运费（邮政）'!$A$2:$A$21, '运费（邮政）'!$B$2:$B$21, "超出范围", 1)</f>
        <v>1240</v>
      </c>
      <c r="R174" s="18">
        <v>9.99</v>
      </c>
      <c r="S174" s="19">
        <f t="shared" si="2"/>
        <v>6.517995493</v>
      </c>
      <c r="T174" s="20">
        <f t="shared" si="3"/>
        <v>34.79</v>
      </c>
      <c r="U174" s="21">
        <f t="array" ref="U174">XLOOKUP(O174/1000, '运费（橙联）'!$A$2:$A$57, '运费（橙联）'!$B$2:$B$57, "超出范围", 1)</f>
        <v>1581</v>
      </c>
      <c r="V174" s="22">
        <f>(P174*'参数表'!$C$2*(1+'参数表'!$C$3))*$B$1+'参数表'!$C$4</f>
        <v>584.55536</v>
      </c>
      <c r="W174" s="3">
        <v>0.127</v>
      </c>
      <c r="X174" s="4">
        <v>0.0135</v>
      </c>
      <c r="Y174" s="23">
        <f t="shared" si="4"/>
        <v>417.373592</v>
      </c>
      <c r="Z174" s="24">
        <f t="shared" si="5"/>
        <v>0.1185181713</v>
      </c>
      <c r="AA174" s="25">
        <f t="shared" si="6"/>
        <v>0.4215894869</v>
      </c>
      <c r="AB174" s="23">
        <f t="shared" si="7"/>
        <v>613.134793</v>
      </c>
      <c r="AC174" s="24">
        <f t="shared" si="8"/>
        <v>0.1241118326</v>
      </c>
      <c r="AD174" s="25">
        <f t="shared" si="9"/>
        <v>0.6193280737</v>
      </c>
      <c r="AE174" s="26">
        <f>P174*(1-I174)*(1+'参数表'!$C$6)*(W174+X174+H174)*1.1+0.4*1.1</f>
        <v>6.156524</v>
      </c>
      <c r="AF174" s="26">
        <f t="shared" si="10"/>
        <v>8.2499285</v>
      </c>
    </row>
    <row r="175">
      <c r="A175" s="44" t="s">
        <v>555</v>
      </c>
      <c r="C175" s="30" t="s">
        <v>556</v>
      </c>
      <c r="D175" s="2" t="s">
        <v>61</v>
      </c>
      <c r="E175" s="14"/>
      <c r="F175" s="14"/>
      <c r="G175" s="13" t="s">
        <v>557</v>
      </c>
      <c r="H175" s="3">
        <v>0.05</v>
      </c>
      <c r="I175" s="3">
        <v>0.0</v>
      </c>
      <c r="J175" s="15">
        <v>1090.0</v>
      </c>
      <c r="K175" s="16">
        <v>280.0</v>
      </c>
      <c r="L175" s="16">
        <v>34.0</v>
      </c>
      <c r="M175" s="16">
        <v>24.0</v>
      </c>
      <c r="N175" s="16">
        <v>2.0</v>
      </c>
      <c r="O175" s="17">
        <f t="shared" si="12"/>
        <v>280</v>
      </c>
      <c r="P175" s="18">
        <v>25.8</v>
      </c>
      <c r="Q175" s="6">
        <f t="array" ref="Q175">XLOOKUP(K175/1000, '运费（邮政）'!$A$2:$A$21, '运费（邮政）'!$B$2:$B$21, "超出范围", 1)</f>
        <v>1240</v>
      </c>
      <c r="R175" s="18">
        <v>12.99</v>
      </c>
      <c r="S175" s="19">
        <f t="shared" si="2"/>
        <v>6.620095493</v>
      </c>
      <c r="T175" s="20">
        <f t="shared" si="3"/>
        <v>38.79</v>
      </c>
      <c r="U175" s="21">
        <f t="array" ref="U175">XLOOKUP(O175/1000, '运费（橙联）'!$A$2:$A$57, '运费（橙联）'!$B$2:$B$57, "超出范围", 1)</f>
        <v>1581</v>
      </c>
      <c r="V175" s="22">
        <f>(P175*'参数表'!$C$2*(1+'参数表'!$C$3))*$B$1+'参数表'!$C$4</f>
        <v>599.05356</v>
      </c>
      <c r="W175" s="3">
        <v>0.127</v>
      </c>
      <c r="X175" s="4">
        <v>0.0135</v>
      </c>
      <c r="Y175" s="23">
        <f t="shared" si="4"/>
        <v>426.641882</v>
      </c>
      <c r="Z175" s="24">
        <f t="shared" si="5"/>
        <v>0.116454275</v>
      </c>
      <c r="AA175" s="25">
        <f t="shared" si="6"/>
        <v>0.3914145706</v>
      </c>
      <c r="AB175" s="23">
        <f t="shared" si="7"/>
        <v>944.636583</v>
      </c>
      <c r="AC175" s="24">
        <f t="shared" si="8"/>
        <v>0.1714970431</v>
      </c>
      <c r="AD175" s="25">
        <f t="shared" si="9"/>
        <v>0.866639067</v>
      </c>
      <c r="AE175" s="26">
        <f>P175*(1-I175)*(1+'参数表'!$C$6)*(W175+X175+H175)*1.1+0.4*1.1</f>
        <v>6.387029</v>
      </c>
      <c r="AF175" s="26">
        <f t="shared" si="10"/>
        <v>9.1090835</v>
      </c>
    </row>
    <row r="176">
      <c r="A176" s="44" t="s">
        <v>558</v>
      </c>
      <c r="C176" s="30" t="s">
        <v>559</v>
      </c>
      <c r="D176" s="2" t="s">
        <v>61</v>
      </c>
      <c r="E176" s="14"/>
      <c r="F176" s="14"/>
      <c r="G176" s="13" t="s">
        <v>560</v>
      </c>
      <c r="H176" s="3">
        <v>0.05</v>
      </c>
      <c r="I176" s="3">
        <v>0.0</v>
      </c>
      <c r="J176" s="15">
        <v>390.0</v>
      </c>
      <c r="K176" s="16">
        <v>200.0</v>
      </c>
      <c r="L176" s="16">
        <v>34.0</v>
      </c>
      <c r="M176" s="16">
        <v>24.0</v>
      </c>
      <c r="N176" s="16">
        <v>2.0</v>
      </c>
      <c r="O176" s="17">
        <f t="shared" si="12"/>
        <v>204</v>
      </c>
      <c r="P176" s="18">
        <v>16.9</v>
      </c>
      <c r="Q176" s="6">
        <f t="array" ref="Q176">XLOOKUP(K176/1000, '运费（邮政）'!$A$2:$A$21, '运费（邮政）'!$B$2:$B$21, "超出范围", 1)</f>
        <v>1060</v>
      </c>
      <c r="R176" s="18">
        <v>9.99</v>
      </c>
      <c r="S176" s="19">
        <f t="shared" si="2"/>
        <v>6.979011127</v>
      </c>
      <c r="T176" s="20">
        <f t="shared" si="3"/>
        <v>26.89</v>
      </c>
      <c r="U176" s="21">
        <f t="array" ref="U176">XLOOKUP(O176/1000, '运费（橙联）'!$A$2:$A$57, '运费（橙联）'!$B$2:$B$57, "超出范围", 1)</f>
        <v>1581</v>
      </c>
      <c r="V176" s="22">
        <f>(P176*'参数表'!$C$2*(1+'参数表'!$C$3))*$B$1+'参数表'!$C$4</f>
        <v>470.01958</v>
      </c>
      <c r="W176" s="3">
        <v>0.127</v>
      </c>
      <c r="X176" s="4">
        <v>0.0135</v>
      </c>
      <c r="Y176" s="23">
        <f t="shared" si="4"/>
        <v>334.154101</v>
      </c>
      <c r="Z176" s="24">
        <f t="shared" si="5"/>
        <v>0.139242479</v>
      </c>
      <c r="AA176" s="25">
        <f t="shared" si="6"/>
        <v>0.8568053872</v>
      </c>
      <c r="AB176" s="23">
        <f t="shared" si="7"/>
        <v>464.451082</v>
      </c>
      <c r="AC176" s="24">
        <f t="shared" si="8"/>
        <v>0.1216356366</v>
      </c>
      <c r="AD176" s="25">
        <f t="shared" si="9"/>
        <v>1.19090021</v>
      </c>
      <c r="AE176" s="26">
        <f>P176*(1-I176)*(1+'参数表'!$C$6)*(W176+X176+H176)*1.1+0.4*1.1</f>
        <v>4.3355345</v>
      </c>
      <c r="AF176" s="26">
        <f t="shared" si="10"/>
        <v>6.428939</v>
      </c>
    </row>
    <row r="177">
      <c r="A177" s="44" t="s">
        <v>561</v>
      </c>
      <c r="C177" s="30" t="s">
        <v>562</v>
      </c>
      <c r="D177" s="2" t="s">
        <v>61</v>
      </c>
      <c r="E177" s="14"/>
      <c r="F177" s="14"/>
      <c r="G177" s="13" t="s">
        <v>563</v>
      </c>
      <c r="H177" s="3">
        <v>0.05</v>
      </c>
      <c r="I177" s="3">
        <v>0.0</v>
      </c>
      <c r="J177" s="15">
        <v>490.0</v>
      </c>
      <c r="K177" s="16">
        <v>200.0</v>
      </c>
      <c r="L177" s="16">
        <v>34.0</v>
      </c>
      <c r="M177" s="16">
        <v>24.0</v>
      </c>
      <c r="N177" s="16">
        <v>2.0</v>
      </c>
      <c r="O177" s="17">
        <f t="shared" si="12"/>
        <v>204</v>
      </c>
      <c r="P177" s="18">
        <v>18.8</v>
      </c>
      <c r="Q177" s="6">
        <f t="array" ref="Q177">XLOOKUP(K177/1000, '运费（邮政）'!$A$2:$A$21, '运费（邮政）'!$B$2:$B$21, "超出范围", 1)</f>
        <v>1060</v>
      </c>
      <c r="R177" s="18">
        <v>9.99</v>
      </c>
      <c r="S177" s="19">
        <f t="shared" si="2"/>
        <v>7.173001127</v>
      </c>
      <c r="T177" s="20">
        <f t="shared" si="3"/>
        <v>28.79</v>
      </c>
      <c r="U177" s="21">
        <f t="array" ref="U177">XLOOKUP(O177/1000, '运费（橙联）'!$A$2:$A$57, '运费（橙联）'!$B$2:$B$57, "超出范围", 1)</f>
        <v>1581</v>
      </c>
      <c r="V177" s="22">
        <f>(P177*'参数表'!$C$2*(1+'参数表'!$C$3))*$B$1+'参数表'!$C$4</f>
        <v>497.56616</v>
      </c>
      <c r="W177" s="3">
        <v>0.127</v>
      </c>
      <c r="X177" s="4">
        <v>0.0135</v>
      </c>
      <c r="Y177" s="23">
        <f t="shared" si="4"/>
        <v>441.763852</v>
      </c>
      <c r="Z177" s="24">
        <f t="shared" si="5"/>
        <v>0.1654794171</v>
      </c>
      <c r="AA177" s="25">
        <f t="shared" si="6"/>
        <v>0.9015588816</v>
      </c>
      <c r="AB177" s="23">
        <f t="shared" si="7"/>
        <v>544.514253</v>
      </c>
      <c r="AC177" s="24">
        <f t="shared" si="8"/>
        <v>0.1331923382</v>
      </c>
      <c r="AD177" s="25">
        <f t="shared" si="9"/>
        <v>1.111253578</v>
      </c>
      <c r="AE177" s="26">
        <f>P177*(1-I177)*(1+'参数表'!$C$6)*(W177+X177+H177)*1.1+0.4*1.1</f>
        <v>4.773494</v>
      </c>
      <c r="AF177" s="26">
        <f t="shared" si="10"/>
        <v>6.8668985</v>
      </c>
    </row>
    <row r="178">
      <c r="A178" s="44" t="s">
        <v>564</v>
      </c>
      <c r="C178" s="30" t="s">
        <v>565</v>
      </c>
      <c r="D178" s="2" t="s">
        <v>61</v>
      </c>
      <c r="E178" s="14"/>
      <c r="F178" s="14"/>
      <c r="G178" s="13" t="s">
        <v>566</v>
      </c>
      <c r="H178" s="3">
        <v>0.05</v>
      </c>
      <c r="I178" s="3">
        <v>0.0</v>
      </c>
      <c r="J178" s="15">
        <v>590.0</v>
      </c>
      <c r="K178" s="16">
        <v>200.0</v>
      </c>
      <c r="L178" s="16">
        <v>15.0</v>
      </c>
      <c r="M178" s="16">
        <v>21.0</v>
      </c>
      <c r="N178" s="16">
        <v>1.0</v>
      </c>
      <c r="O178" s="17">
        <f t="shared" si="12"/>
        <v>200</v>
      </c>
      <c r="P178" s="18">
        <v>19.8</v>
      </c>
      <c r="Q178" s="6">
        <f t="array" ref="Q178">XLOOKUP(K178/1000, '运费（邮政）'!$A$2:$A$21, '运费（邮政）'!$B$2:$B$21, "超出范围", 1)</f>
        <v>1060</v>
      </c>
      <c r="R178" s="18">
        <v>9.99</v>
      </c>
      <c r="S178" s="19">
        <f t="shared" si="2"/>
        <v>5.768058873</v>
      </c>
      <c r="T178" s="20">
        <f t="shared" si="3"/>
        <v>29.79</v>
      </c>
      <c r="U178" s="21">
        <f t="array" ref="U178">XLOOKUP(O178/1000, '运费（橙联）'!$A$2:$A$57, '运费（橙联）'!$B$2:$B$57, "超出范围", 1)</f>
        <v>1367</v>
      </c>
      <c r="V178" s="22">
        <f>(P178*'参数表'!$C$2*(1+'参数表'!$C$3))*$B$1+'参数表'!$C$4</f>
        <v>512.06436</v>
      </c>
      <c r="W178" s="3">
        <v>0.127</v>
      </c>
      <c r="X178" s="4">
        <v>0.0135</v>
      </c>
      <c r="Y178" s="23">
        <f t="shared" si="4"/>
        <v>451.032142</v>
      </c>
      <c r="Z178" s="24">
        <f t="shared" si="5"/>
        <v>0.1604183177</v>
      </c>
      <c r="AA178" s="25">
        <f t="shared" si="6"/>
        <v>0.7644612576</v>
      </c>
      <c r="AB178" s="23">
        <f t="shared" si="7"/>
        <v>753.284343</v>
      </c>
      <c r="AC178" s="24">
        <f t="shared" si="8"/>
        <v>0.1780738274</v>
      </c>
      <c r="AD178" s="25">
        <f t="shared" si="9"/>
        <v>1.276753124</v>
      </c>
      <c r="AE178" s="26">
        <f>P178*(1-I178)*(1+'参数表'!$C$6)*(W178+X178+H178)*1.1+0.4*1.1</f>
        <v>5.003999</v>
      </c>
      <c r="AF178" s="26">
        <f t="shared" si="10"/>
        <v>7.0974035</v>
      </c>
    </row>
    <row r="179">
      <c r="A179" s="44" t="s">
        <v>567</v>
      </c>
      <c r="C179" s="30" t="s">
        <v>568</v>
      </c>
      <c r="D179" s="2" t="s">
        <v>61</v>
      </c>
      <c r="E179" s="14"/>
      <c r="F179" s="14"/>
      <c r="G179" s="57" t="s">
        <v>569</v>
      </c>
      <c r="H179" s="3">
        <v>0.05</v>
      </c>
      <c r="I179" s="3">
        <v>0.0</v>
      </c>
      <c r="J179" s="15">
        <v>690.0</v>
      </c>
      <c r="K179" s="16">
        <v>250.0</v>
      </c>
      <c r="L179" s="16">
        <v>34.0</v>
      </c>
      <c r="M179" s="16">
        <v>24.0</v>
      </c>
      <c r="N179" s="16">
        <v>2.0</v>
      </c>
      <c r="O179" s="17">
        <f t="shared" si="12"/>
        <v>250</v>
      </c>
      <c r="P179" s="18">
        <v>21.8</v>
      </c>
      <c r="Q179" s="6">
        <f t="array" ref="Q179">XLOOKUP(K179/1000, '运费（邮政）'!$A$2:$A$21, '运费（邮政）'!$B$2:$B$21, "超出范围", 1)</f>
        <v>1240</v>
      </c>
      <c r="R179" s="18">
        <v>9.99</v>
      </c>
      <c r="S179" s="19">
        <f t="shared" si="2"/>
        <v>6.211695493</v>
      </c>
      <c r="T179" s="20">
        <f t="shared" si="3"/>
        <v>31.79</v>
      </c>
      <c r="U179" s="21">
        <f t="array" ref="U179">XLOOKUP(O179/1000, '运费（橙联）'!$A$2:$A$57, '运费（橙联）'!$B$2:$B$57, "超出范围", 1)</f>
        <v>1581</v>
      </c>
      <c r="V179" s="22">
        <f>(P179*'参数表'!$C$2*(1+'参数表'!$C$3))*$B$1+'参数表'!$C$4</f>
        <v>541.06076</v>
      </c>
      <c r="W179" s="3">
        <v>0.127</v>
      </c>
      <c r="X179" s="4">
        <v>0.0135</v>
      </c>
      <c r="Y179" s="23">
        <f t="shared" si="4"/>
        <v>389.568722</v>
      </c>
      <c r="Z179" s="24">
        <f t="shared" si="5"/>
        <v>0.1258459497</v>
      </c>
      <c r="AA179" s="25">
        <f t="shared" si="6"/>
        <v>0.5645923507</v>
      </c>
      <c r="AB179" s="23">
        <f t="shared" si="7"/>
        <v>628.824523</v>
      </c>
      <c r="AC179" s="24">
        <f t="shared" si="8"/>
        <v>0.1392998336</v>
      </c>
      <c r="AD179" s="25">
        <f t="shared" si="9"/>
        <v>0.9113398884</v>
      </c>
      <c r="AE179" s="26">
        <f>P179*(1-I179)*(1+'参数表'!$C$6)*(W179+X179+H179)*1.1+0.4*1.1</f>
        <v>5.465009</v>
      </c>
      <c r="AF179" s="26">
        <f t="shared" si="10"/>
        <v>7.5584135</v>
      </c>
    </row>
    <row r="180">
      <c r="A180" s="44" t="s">
        <v>570</v>
      </c>
      <c r="C180" s="30" t="s">
        <v>571</v>
      </c>
      <c r="D180" s="2" t="s">
        <v>61</v>
      </c>
      <c r="E180" s="14"/>
      <c r="F180" s="14"/>
      <c r="G180" s="57" t="s">
        <v>572</v>
      </c>
      <c r="H180" s="3">
        <v>0.05</v>
      </c>
      <c r="I180" s="3">
        <v>0.0</v>
      </c>
      <c r="J180" s="15">
        <v>390.0</v>
      </c>
      <c r="K180" s="16">
        <v>110.0</v>
      </c>
      <c r="L180" s="16">
        <v>34.0</v>
      </c>
      <c r="M180" s="16">
        <v>24.0</v>
      </c>
      <c r="N180" s="16">
        <v>2.0</v>
      </c>
      <c r="O180" s="17">
        <f t="shared" si="12"/>
        <v>204</v>
      </c>
      <c r="P180" s="18">
        <v>16.8</v>
      </c>
      <c r="Q180" s="6">
        <f t="array" ref="Q180">XLOOKUP(K180/1000, '运费（邮政）'!$A$2:$A$21, '运费（邮政）'!$B$2:$B$21, "超出范围", 1)</f>
        <v>1060</v>
      </c>
      <c r="R180" s="18">
        <v>9.99</v>
      </c>
      <c r="S180" s="19">
        <f t="shared" si="2"/>
        <v>6.968801127</v>
      </c>
      <c r="T180" s="20">
        <f t="shared" si="3"/>
        <v>26.79</v>
      </c>
      <c r="U180" s="21">
        <f t="array" ref="U180">XLOOKUP(O180/1000, '运费（橙联）'!$A$2:$A$57, '运费（橙联）'!$B$2:$B$57, "超出范围", 1)</f>
        <v>1581</v>
      </c>
      <c r="V180" s="22">
        <f>(P180*'参数表'!$C$2*(1+'参数表'!$C$3))*$B$1+'参数表'!$C$4</f>
        <v>468.56976</v>
      </c>
      <c r="W180" s="3">
        <v>0.127</v>
      </c>
      <c r="X180" s="4">
        <v>0.0135</v>
      </c>
      <c r="Y180" s="23">
        <f t="shared" si="4"/>
        <v>323.227272</v>
      </c>
      <c r="Z180" s="24">
        <f t="shared" si="5"/>
        <v>0.1354909759</v>
      </c>
      <c r="AA180" s="25">
        <f t="shared" si="6"/>
        <v>0.8287878769</v>
      </c>
      <c r="AB180" s="23">
        <f t="shared" si="7"/>
        <v>454.974073</v>
      </c>
      <c r="AC180" s="24">
        <f t="shared" si="8"/>
        <v>0.1195984609</v>
      </c>
      <c r="AD180" s="25">
        <f t="shared" si="9"/>
        <v>1.166600187</v>
      </c>
      <c r="AE180" s="26">
        <f>P180*(1-I180)*(1+'参数表'!$C$6)*(W180+X180+H180)*1.1+0.4*1.1</f>
        <v>4.312484</v>
      </c>
      <c r="AF180" s="26">
        <f t="shared" si="10"/>
        <v>6.4058885</v>
      </c>
    </row>
    <row r="181">
      <c r="A181" s="58" t="s">
        <v>573</v>
      </c>
      <c r="C181" s="30" t="s">
        <v>574</v>
      </c>
      <c r="E181" s="14"/>
      <c r="F181" s="14"/>
      <c r="G181" s="13" t="s">
        <v>575</v>
      </c>
      <c r="H181" s="3">
        <v>0.05</v>
      </c>
      <c r="I181" s="3">
        <v>0.0</v>
      </c>
      <c r="J181" s="15">
        <v>1200.0</v>
      </c>
      <c r="K181" s="16">
        <v>100.0</v>
      </c>
      <c r="L181" s="16">
        <v>34.0</v>
      </c>
      <c r="M181" s="16">
        <v>24.0</v>
      </c>
      <c r="N181" s="16">
        <v>2.0</v>
      </c>
      <c r="O181" s="17">
        <f t="shared" si="12"/>
        <v>204</v>
      </c>
      <c r="P181" s="18">
        <v>25.35</v>
      </c>
      <c r="Q181" s="6">
        <f t="array" ref="Q181">XLOOKUP(K181/1000, '运费（邮政）'!$A$2:$A$21, '运费（邮政）'!$B$2:$B$21, "超出范围", 1)</f>
        <v>880</v>
      </c>
      <c r="R181" s="18">
        <v>15.99</v>
      </c>
      <c r="S181" s="19">
        <f t="shared" si="2"/>
        <v>9.109361761</v>
      </c>
      <c r="T181" s="20">
        <f t="shared" si="3"/>
        <v>41.34</v>
      </c>
      <c r="U181" s="21">
        <f t="array" ref="U181">XLOOKUP(O181/1000, '运费（橙联）'!$A$2:$A$57, '运费（橙联）'!$B$2:$B$57, "超出范围", 1)</f>
        <v>1581</v>
      </c>
      <c r="V181" s="22">
        <f>(P181*'参数表'!$C$2*(1+'参数表'!$C$3))*$B$1+'参数表'!$C$4</f>
        <v>592.52937</v>
      </c>
      <c r="W181" s="3">
        <v>0.127</v>
      </c>
      <c r="X181" s="4">
        <v>0.0135</v>
      </c>
      <c r="Y181" s="23">
        <f t="shared" si="4"/>
        <v>627.4711515</v>
      </c>
      <c r="Z181" s="24">
        <f t="shared" si="5"/>
        <v>0.1743120681</v>
      </c>
      <c r="AA181" s="25">
        <f t="shared" si="6"/>
        <v>0.5228926263</v>
      </c>
      <c r="AB181" s="23">
        <f t="shared" si="7"/>
        <v>1128.721743</v>
      </c>
      <c r="AC181" s="24">
        <f t="shared" si="8"/>
        <v>0.1922773262</v>
      </c>
      <c r="AD181" s="25">
        <f t="shared" si="9"/>
        <v>0.9406014521</v>
      </c>
      <c r="AE181" s="26">
        <f>P181*(1-I181)*(1+'参数表'!$C$6)*(W181+X181+H181)*1.1+0.4*1.1</f>
        <v>6.28330175</v>
      </c>
      <c r="AF181" s="26">
        <f t="shared" si="10"/>
        <v>9.63400625</v>
      </c>
    </row>
    <row r="182">
      <c r="A182" s="44" t="s">
        <v>576</v>
      </c>
      <c r="C182" s="30" t="s">
        <v>577</v>
      </c>
      <c r="D182" s="2" t="s">
        <v>61</v>
      </c>
      <c r="E182" s="14"/>
      <c r="F182" s="14"/>
      <c r="G182" s="48" t="s">
        <v>578</v>
      </c>
      <c r="H182" s="3">
        <v>0.05</v>
      </c>
      <c r="I182" s="3">
        <v>0.0</v>
      </c>
      <c r="J182" s="15">
        <v>1650.0</v>
      </c>
      <c r="K182" s="16">
        <v>120.0</v>
      </c>
      <c r="L182" s="16">
        <v>14.0</v>
      </c>
      <c r="M182" s="16">
        <v>12.0</v>
      </c>
      <c r="N182" s="16">
        <v>1.0</v>
      </c>
      <c r="O182" s="17">
        <f t="shared" si="12"/>
        <v>120</v>
      </c>
      <c r="P182" s="18">
        <v>30.6</v>
      </c>
      <c r="Q182" s="6">
        <f t="array" ref="Q182">XLOOKUP(K182/1000, '运费（邮政）'!$A$2:$A$21, '运费（邮政）'!$B$2:$B$21, "超出范围", 1)</f>
        <v>1060</v>
      </c>
      <c r="R182" s="18">
        <v>12.99</v>
      </c>
      <c r="S182" s="19">
        <f t="shared" si="2"/>
        <v>6.870738873</v>
      </c>
      <c r="T182" s="20">
        <f t="shared" si="3"/>
        <v>43.59</v>
      </c>
      <c r="U182" s="21">
        <f t="array" ref="U182">XLOOKUP(O182/1000, '运费（橙联）'!$A$2:$A$57, '运费（橙联）'!$B$2:$B$57, "超出范围", 1)</f>
        <v>1367</v>
      </c>
      <c r="V182" s="22">
        <f>(P182*'参数表'!$C$2*(1+'参数表'!$C$3))*$B$1+'参数表'!$C$4</f>
        <v>668.64492</v>
      </c>
      <c r="W182" s="3">
        <v>0.153</v>
      </c>
      <c r="X182" s="4">
        <v>0.0135</v>
      </c>
      <c r="Y182" s="23">
        <f t="shared" si="4"/>
        <v>434.429682</v>
      </c>
      <c r="Z182" s="24">
        <f t="shared" si="5"/>
        <v>0.09997921431</v>
      </c>
      <c r="AA182" s="25">
        <f t="shared" si="6"/>
        <v>0.2632907164</v>
      </c>
      <c r="AB182" s="23">
        <f t="shared" si="7"/>
        <v>864.078035</v>
      </c>
      <c r="AC182" s="24">
        <f t="shared" si="8"/>
        <v>0.1395975358</v>
      </c>
      <c r="AD182" s="25">
        <f t="shared" si="9"/>
        <v>0.5236836576</v>
      </c>
      <c r="AE182" s="26">
        <f>P182*(1-I182)*(1+'参数表'!$C$6)*(W182+X182+H182)*1.1+0.4*1.1</f>
        <v>8.456129</v>
      </c>
      <c r="AF182" s="26">
        <f t="shared" si="10"/>
        <v>11.5496975</v>
      </c>
    </row>
    <row r="183">
      <c r="A183" s="44" t="s">
        <v>579</v>
      </c>
      <c r="C183" s="30" t="s">
        <v>580</v>
      </c>
      <c r="D183" s="2" t="s">
        <v>61</v>
      </c>
      <c r="E183" s="14"/>
      <c r="F183" s="14"/>
      <c r="G183" s="48" t="s">
        <v>581</v>
      </c>
      <c r="H183" s="3">
        <v>0.05</v>
      </c>
      <c r="I183" s="3">
        <v>0.0</v>
      </c>
      <c r="J183" s="15">
        <v>3300.0</v>
      </c>
      <c r="K183" s="16">
        <v>120.0</v>
      </c>
      <c r="L183" s="16">
        <v>14.0</v>
      </c>
      <c r="M183" s="16">
        <v>12.0</v>
      </c>
      <c r="N183" s="16">
        <v>1.0</v>
      </c>
      <c r="O183" s="17">
        <f t="shared" si="12"/>
        <v>120</v>
      </c>
      <c r="P183" s="18">
        <v>49.8</v>
      </c>
      <c r="Q183" s="6">
        <f t="array" ref="Q183">XLOOKUP(K183/1000, '运费（邮政）'!$A$2:$A$21, '运费（邮政）'!$B$2:$B$21, "超出范围", 1)</f>
        <v>1060</v>
      </c>
      <c r="R183" s="18">
        <v>15.99</v>
      </c>
      <c r="S183" s="19">
        <f t="shared" si="2"/>
        <v>8.831058873</v>
      </c>
      <c r="T183" s="20">
        <f t="shared" si="3"/>
        <v>65.79</v>
      </c>
      <c r="U183" s="21">
        <f t="array" ref="U183">XLOOKUP(O183/1000, '运费（橙联）'!$A$2:$A$57, '运费（橙联）'!$B$2:$B$57, "超出范围", 1)</f>
        <v>1367</v>
      </c>
      <c r="V183" s="22">
        <f>(P183*'参数表'!$C$2*(1+'参数表'!$C$3))*$B$1+'参数表'!$C$4</f>
        <v>947.01036</v>
      </c>
      <c r="W183" s="3">
        <v>0.153</v>
      </c>
      <c r="X183" s="4">
        <v>0.0135</v>
      </c>
      <c r="Y183" s="23">
        <f t="shared" si="4"/>
        <v>796.608306</v>
      </c>
      <c r="Z183" s="24">
        <f t="shared" si="5"/>
        <v>0.1126489488</v>
      </c>
      <c r="AA183" s="25">
        <f t="shared" si="6"/>
        <v>0.2413964564</v>
      </c>
      <c r="AB183" s="23">
        <f t="shared" si="7"/>
        <v>1272.439319</v>
      </c>
      <c r="AC183" s="24">
        <f t="shared" si="8"/>
        <v>0.1362036825</v>
      </c>
      <c r="AD183" s="25">
        <f t="shared" si="9"/>
        <v>0.3855876724</v>
      </c>
      <c r="AE183" s="26">
        <f>P183*(1-I183)*(1+'参数表'!$C$6)*(W183+X183+H183)*1.1+0.4*1.1</f>
        <v>13.485857</v>
      </c>
      <c r="AF183" s="26">
        <f t="shared" si="10"/>
        <v>17.2938755</v>
      </c>
    </row>
    <row r="184">
      <c r="A184" s="44" t="s">
        <v>582</v>
      </c>
      <c r="C184" s="30" t="s">
        <v>583</v>
      </c>
      <c r="D184" s="2" t="s">
        <v>584</v>
      </c>
      <c r="E184" s="14"/>
      <c r="F184" s="14"/>
      <c r="G184" s="48" t="s">
        <v>585</v>
      </c>
      <c r="H184" s="3">
        <v>0.05</v>
      </c>
      <c r="I184" s="3">
        <v>0.0</v>
      </c>
      <c r="J184" s="15"/>
      <c r="K184" s="16"/>
      <c r="L184" s="16">
        <v>34.0</v>
      </c>
      <c r="M184" s="16">
        <v>24.0</v>
      </c>
      <c r="N184" s="16">
        <v>2.0</v>
      </c>
      <c r="O184" s="17">
        <f t="shared" si="12"/>
        <v>204</v>
      </c>
      <c r="P184" s="18"/>
      <c r="Q184" s="6">
        <f t="array" ref="Q184">XLOOKUP(K184/1000, '运费（邮政）'!$A$2:$A$21, '运费（邮政）'!$B$2:$B$21, "超出范围", 1)</f>
        <v>880</v>
      </c>
      <c r="R184" s="18"/>
      <c r="S184" s="19">
        <f t="shared" si="2"/>
        <v>6.521126761</v>
      </c>
      <c r="T184" s="20">
        <f t="shared" si="3"/>
        <v>0</v>
      </c>
      <c r="U184" s="21">
        <f t="array" ref="U184">XLOOKUP(O184/1000, '运费（橙联）'!$A$2:$A$57, '运费（橙联）'!$B$2:$B$57, "超出范围", 1)</f>
        <v>1581</v>
      </c>
      <c r="V184" s="22">
        <f>(P184*'参数表'!$C$2*(1+'参数表'!$C$3))*$B$1+'参数表'!$C$4</f>
        <v>225</v>
      </c>
      <c r="W184" s="3">
        <v>0.153</v>
      </c>
      <c r="X184" s="4">
        <v>0.0135</v>
      </c>
      <c r="Y184" s="23">
        <f t="shared" si="4"/>
        <v>-942.48</v>
      </c>
      <c r="Z184" s="24" t="str">
        <f t="shared" si="5"/>
        <v>#DIV/0!</v>
      </c>
      <c r="AA184" s="25" t="str">
        <f t="shared" si="6"/>
        <v>#DIV/0!</v>
      </c>
      <c r="AB184" s="23">
        <f t="shared" si="7"/>
        <v>-1868.48</v>
      </c>
      <c r="AC184" s="24" t="str">
        <f t="shared" si="8"/>
        <v>#DIV/0!</v>
      </c>
      <c r="AD184" s="25" t="str">
        <f t="shared" si="9"/>
        <v>#DIV/0!</v>
      </c>
      <c r="AE184" s="26">
        <f>P184*(1-I184)*(1+'参数表'!$C$6)*(W184+X184+H184)*1.1+0.4*1.1</f>
        <v>0.44</v>
      </c>
      <c r="AF184" s="26">
        <f t="shared" si="10"/>
        <v>0.44</v>
      </c>
    </row>
    <row r="185">
      <c r="A185" s="44" t="s">
        <v>586</v>
      </c>
      <c r="C185" s="30" t="s">
        <v>587</v>
      </c>
      <c r="D185" s="2" t="s">
        <v>61</v>
      </c>
      <c r="E185" s="14"/>
      <c r="F185" s="14"/>
      <c r="G185" s="13" t="s">
        <v>588</v>
      </c>
      <c r="H185" s="3">
        <v>0.05</v>
      </c>
      <c r="I185" s="3">
        <v>0.0</v>
      </c>
      <c r="J185" s="15">
        <v>2515.0</v>
      </c>
      <c r="K185" s="16">
        <v>150.0</v>
      </c>
      <c r="L185" s="16">
        <v>34.0</v>
      </c>
      <c r="M185" s="16">
        <v>24.0</v>
      </c>
      <c r="N185" s="16">
        <v>2.0</v>
      </c>
      <c r="O185" s="17">
        <f t="shared" si="12"/>
        <v>204</v>
      </c>
      <c r="P185" s="18">
        <v>41.8</v>
      </c>
      <c r="Q185" s="6">
        <f t="array" ref="Q185">XLOOKUP(K185/1000, '运费（邮政）'!$A$2:$A$21, '运费（邮政）'!$B$2:$B$21, "超出范围", 1)</f>
        <v>1060</v>
      </c>
      <c r="R185" s="18">
        <v>15.99</v>
      </c>
      <c r="S185" s="19">
        <f t="shared" si="2"/>
        <v>9.521301127</v>
      </c>
      <c r="T185" s="20">
        <f t="shared" si="3"/>
        <v>57.79</v>
      </c>
      <c r="U185" s="21">
        <f t="array" ref="U185">XLOOKUP(O185/1000, '运费（橙联）'!$A$2:$A$57, '运费（橙联）'!$B$2:$B$57, "超出范围", 1)</f>
        <v>1581</v>
      </c>
      <c r="V185" s="22">
        <f>(P185*'参数表'!$C$2*(1+'参数表'!$C$3))*$B$1+'参数表'!$C$4</f>
        <v>831.02476</v>
      </c>
      <c r="W185" s="3">
        <v>0.153</v>
      </c>
      <c r="X185" s="4">
        <v>0.0135</v>
      </c>
      <c r="Y185" s="23">
        <f t="shared" si="4"/>
        <v>743.200546</v>
      </c>
      <c r="Z185" s="24">
        <f t="shared" si="5"/>
        <v>0.1252106857</v>
      </c>
      <c r="AA185" s="25">
        <f t="shared" si="6"/>
        <v>0.2955071753</v>
      </c>
      <c r="AB185" s="23">
        <f t="shared" si="7"/>
        <v>1121.017159</v>
      </c>
      <c r="AC185" s="24">
        <f t="shared" si="8"/>
        <v>0.136606455</v>
      </c>
      <c r="AD185" s="25">
        <f t="shared" si="9"/>
        <v>0.4457324688</v>
      </c>
      <c r="AE185" s="26">
        <f>P185*(1-I185)*(1+'参数表'!$C$6)*(W185+X185+H185)*1.1+0.4*1.1</f>
        <v>11.390137</v>
      </c>
      <c r="AF185" s="26">
        <f t="shared" si="10"/>
        <v>15.1981555</v>
      </c>
    </row>
    <row r="186">
      <c r="A186" s="44" t="s">
        <v>589</v>
      </c>
      <c r="C186" s="30" t="s">
        <v>590</v>
      </c>
      <c r="D186" s="2" t="s">
        <v>61</v>
      </c>
      <c r="E186" s="31"/>
      <c r="F186" s="31" t="s">
        <v>591</v>
      </c>
      <c r="G186" s="32"/>
      <c r="H186" s="3">
        <v>0.05</v>
      </c>
      <c r="I186" s="3">
        <v>0.0</v>
      </c>
      <c r="J186" s="15">
        <v>990.0</v>
      </c>
      <c r="K186" s="16">
        <v>210.0</v>
      </c>
      <c r="L186" s="16">
        <v>34.0</v>
      </c>
      <c r="M186" s="16">
        <v>24.0</v>
      </c>
      <c r="N186" s="16">
        <v>2.0</v>
      </c>
      <c r="O186" s="17">
        <f t="shared" si="12"/>
        <v>210</v>
      </c>
      <c r="P186" s="18">
        <v>24.8</v>
      </c>
      <c r="Q186" s="6">
        <f t="array" ref="Q186">XLOOKUP(K186/1000, '运费（邮政）'!$A$2:$A$21, '运费（邮政）'!$B$2:$B$21, "超出范围", 1)</f>
        <v>1240</v>
      </c>
      <c r="R186" s="18">
        <v>9.99</v>
      </c>
      <c r="S186" s="19">
        <f t="shared" si="2"/>
        <v>6.517995493</v>
      </c>
      <c r="T186" s="20">
        <f t="shared" si="3"/>
        <v>34.79</v>
      </c>
      <c r="U186" s="21">
        <f t="array" ref="U186">XLOOKUP(O186/1000, '运费（橙联）'!$A$2:$A$57, '运费（橙联）'!$B$2:$B$57, "超出范围", 1)</f>
        <v>1581</v>
      </c>
      <c r="V186" s="22">
        <f>(P186*'参数表'!$C$2*(1+'参数表'!$C$3))*$B$1+'参数表'!$C$4</f>
        <v>584.55536</v>
      </c>
      <c r="W186" s="3">
        <v>0.127</v>
      </c>
      <c r="X186" s="4">
        <v>0.0135</v>
      </c>
      <c r="Y186" s="23">
        <f t="shared" si="4"/>
        <v>417.373592</v>
      </c>
      <c r="Z186" s="24">
        <f t="shared" si="5"/>
        <v>0.1185181713</v>
      </c>
      <c r="AA186" s="25">
        <f t="shared" si="6"/>
        <v>0.4215894869</v>
      </c>
      <c r="AB186" s="23">
        <f t="shared" si="7"/>
        <v>613.134793</v>
      </c>
      <c r="AC186" s="24">
        <f t="shared" si="8"/>
        <v>0.1241118326</v>
      </c>
      <c r="AD186" s="25">
        <f t="shared" si="9"/>
        <v>0.6193280737</v>
      </c>
      <c r="AE186" s="26">
        <f>P186*(1-I186)*(1+'参数表'!$C$6)*(W186+X186+H186)*1.1+0.4*1.1</f>
        <v>6.156524</v>
      </c>
      <c r="AF186" s="26">
        <f t="shared" si="10"/>
        <v>8.2499285</v>
      </c>
    </row>
    <row r="187">
      <c r="A187" s="44" t="s">
        <v>592</v>
      </c>
      <c r="C187" s="30" t="s">
        <v>593</v>
      </c>
      <c r="D187" s="2" t="s">
        <v>61</v>
      </c>
      <c r="E187" s="31"/>
      <c r="F187" s="31" t="s">
        <v>594</v>
      </c>
      <c r="G187" s="59"/>
      <c r="H187" s="3">
        <v>0.05</v>
      </c>
      <c r="I187" s="3">
        <v>0.0</v>
      </c>
      <c r="J187" s="15">
        <v>990.0</v>
      </c>
      <c r="K187" s="16">
        <v>210.0</v>
      </c>
      <c r="L187" s="16">
        <v>34.0</v>
      </c>
      <c r="M187" s="16">
        <v>24.0</v>
      </c>
      <c r="N187" s="16">
        <v>2.0</v>
      </c>
      <c r="O187" s="17">
        <f t="shared" si="12"/>
        <v>210</v>
      </c>
      <c r="P187" s="18">
        <v>24.8</v>
      </c>
      <c r="Q187" s="6">
        <f t="array" ref="Q187">XLOOKUP(K187/1000, '运费（邮政）'!$A$2:$A$21, '运费（邮政）'!$B$2:$B$21, "超出范围", 1)</f>
        <v>1240</v>
      </c>
      <c r="R187" s="18">
        <v>9.99</v>
      </c>
      <c r="S187" s="19">
        <f t="shared" si="2"/>
        <v>6.517995493</v>
      </c>
      <c r="T187" s="20">
        <f t="shared" si="3"/>
        <v>34.79</v>
      </c>
      <c r="U187" s="21">
        <f t="array" ref="U187">XLOOKUP(O187/1000, '运费（橙联）'!$A$2:$A$57, '运费（橙联）'!$B$2:$B$57, "超出范围", 1)</f>
        <v>1581</v>
      </c>
      <c r="V187" s="22">
        <f>(P187*'参数表'!$C$2*(1+'参数表'!$C$3))*$B$1+'参数表'!$C$4</f>
        <v>584.55536</v>
      </c>
      <c r="W187" s="3">
        <v>0.127</v>
      </c>
      <c r="X187" s="4">
        <v>0.0135</v>
      </c>
      <c r="Y187" s="23">
        <f t="shared" si="4"/>
        <v>417.373592</v>
      </c>
      <c r="Z187" s="24">
        <f t="shared" si="5"/>
        <v>0.1185181713</v>
      </c>
      <c r="AA187" s="25">
        <f t="shared" si="6"/>
        <v>0.4215894869</v>
      </c>
      <c r="AB187" s="23">
        <f t="shared" si="7"/>
        <v>613.134793</v>
      </c>
      <c r="AC187" s="24">
        <f t="shared" si="8"/>
        <v>0.1241118326</v>
      </c>
      <c r="AD187" s="25">
        <f t="shared" si="9"/>
        <v>0.6193280737</v>
      </c>
      <c r="AE187" s="26">
        <f>P187*(1-I187)*(1+'参数表'!$C$6)*(W187+X187+H187)*1.1+0.4*1.1</f>
        <v>6.156524</v>
      </c>
      <c r="AF187" s="26">
        <f t="shared" si="10"/>
        <v>8.2499285</v>
      </c>
    </row>
    <row r="188">
      <c r="A188" s="44" t="s">
        <v>595</v>
      </c>
      <c r="C188" s="30" t="s">
        <v>596</v>
      </c>
      <c r="D188" s="2" t="s">
        <v>61</v>
      </c>
      <c r="E188" s="31"/>
      <c r="F188" s="31" t="s">
        <v>591</v>
      </c>
      <c r="G188" s="13"/>
      <c r="H188" s="3">
        <v>0.05</v>
      </c>
      <c r="I188" s="3">
        <v>0.0</v>
      </c>
      <c r="J188" s="15">
        <v>990.0</v>
      </c>
      <c r="K188" s="16">
        <v>210.0</v>
      </c>
      <c r="L188" s="16">
        <v>34.0</v>
      </c>
      <c r="M188" s="16">
        <v>24.0</v>
      </c>
      <c r="N188" s="16">
        <v>2.0</v>
      </c>
      <c r="O188" s="17">
        <f t="shared" si="12"/>
        <v>210</v>
      </c>
      <c r="P188" s="18">
        <v>24.8</v>
      </c>
      <c r="Q188" s="6">
        <f t="array" ref="Q188">XLOOKUP(K188/1000, '运费（邮政）'!$A$2:$A$21, '运费（邮政）'!$B$2:$B$21, "超出范围", 1)</f>
        <v>1240</v>
      </c>
      <c r="R188" s="18">
        <v>9.99</v>
      </c>
      <c r="S188" s="19">
        <f t="shared" si="2"/>
        <v>6.517995493</v>
      </c>
      <c r="T188" s="20">
        <f t="shared" si="3"/>
        <v>34.79</v>
      </c>
      <c r="U188" s="21">
        <f t="array" ref="U188">XLOOKUP(O188/1000, '运费（橙联）'!$A$2:$A$57, '运费（橙联）'!$B$2:$B$57, "超出范围", 1)</f>
        <v>1581</v>
      </c>
      <c r="V188" s="22">
        <f>(P188*'参数表'!$C$2*(1+'参数表'!$C$3))*$B$1+'参数表'!$C$4</f>
        <v>584.55536</v>
      </c>
      <c r="W188" s="3">
        <v>0.127</v>
      </c>
      <c r="X188" s="4">
        <v>0.0135</v>
      </c>
      <c r="Y188" s="23">
        <f t="shared" si="4"/>
        <v>417.373592</v>
      </c>
      <c r="Z188" s="24">
        <f t="shared" si="5"/>
        <v>0.1185181713</v>
      </c>
      <c r="AA188" s="25">
        <f t="shared" si="6"/>
        <v>0.4215894869</v>
      </c>
      <c r="AB188" s="23">
        <f t="shared" si="7"/>
        <v>613.134793</v>
      </c>
      <c r="AC188" s="24">
        <f t="shared" si="8"/>
        <v>0.1241118326</v>
      </c>
      <c r="AD188" s="25">
        <f t="shared" si="9"/>
        <v>0.6193280737</v>
      </c>
      <c r="AE188" s="26">
        <f>P188*(1-I188)*(1+'参数表'!$C$6)*(W188+X188+H188)*1.1+0.4*1.1</f>
        <v>6.156524</v>
      </c>
      <c r="AF188" s="26">
        <f t="shared" si="10"/>
        <v>8.2499285</v>
      </c>
    </row>
    <row r="189">
      <c r="A189" s="44" t="s">
        <v>597</v>
      </c>
      <c r="C189" s="30" t="s">
        <v>598</v>
      </c>
      <c r="D189" s="2" t="s">
        <v>61</v>
      </c>
      <c r="E189" s="31"/>
      <c r="F189" s="31" t="s">
        <v>364</v>
      </c>
      <c r="G189" s="32"/>
      <c r="H189" s="3">
        <v>0.05</v>
      </c>
      <c r="I189" s="3">
        <v>0.0</v>
      </c>
      <c r="J189" s="15">
        <v>990.0</v>
      </c>
      <c r="K189" s="16">
        <v>210.0</v>
      </c>
      <c r="L189" s="16">
        <v>34.0</v>
      </c>
      <c r="M189" s="16">
        <v>24.0</v>
      </c>
      <c r="N189" s="16">
        <v>2.0</v>
      </c>
      <c r="O189" s="17">
        <f t="shared" si="12"/>
        <v>210</v>
      </c>
      <c r="P189" s="18">
        <v>24.8</v>
      </c>
      <c r="Q189" s="6">
        <f t="array" ref="Q189">XLOOKUP(K189/1000, '运费（邮政）'!$A$2:$A$21, '运费（邮政）'!$B$2:$B$21, "超出范围", 1)</f>
        <v>1240</v>
      </c>
      <c r="R189" s="18">
        <v>9.99</v>
      </c>
      <c r="S189" s="19">
        <f t="shared" si="2"/>
        <v>6.517995493</v>
      </c>
      <c r="T189" s="20">
        <f t="shared" si="3"/>
        <v>34.79</v>
      </c>
      <c r="U189" s="21">
        <f t="array" ref="U189">XLOOKUP(O189/1000, '运费（橙联）'!$A$2:$A$57, '运费（橙联）'!$B$2:$B$57, "超出范围", 1)</f>
        <v>1581</v>
      </c>
      <c r="V189" s="22">
        <f>(P189*'参数表'!$C$2*(1+'参数表'!$C$3))*$B$1+'参数表'!$C$4</f>
        <v>584.55536</v>
      </c>
      <c r="W189" s="3">
        <v>0.127</v>
      </c>
      <c r="X189" s="4">
        <v>0.0135</v>
      </c>
      <c r="Y189" s="23">
        <f t="shared" si="4"/>
        <v>417.373592</v>
      </c>
      <c r="Z189" s="24">
        <f t="shared" si="5"/>
        <v>0.1185181713</v>
      </c>
      <c r="AA189" s="25">
        <f t="shared" si="6"/>
        <v>0.4215894869</v>
      </c>
      <c r="AB189" s="23">
        <f t="shared" si="7"/>
        <v>613.134793</v>
      </c>
      <c r="AC189" s="24">
        <f t="shared" si="8"/>
        <v>0.1241118326</v>
      </c>
      <c r="AD189" s="25">
        <f t="shared" si="9"/>
        <v>0.6193280737</v>
      </c>
      <c r="AE189" s="26">
        <f>P189*(1-I189)*(1+'参数表'!$C$6)*(W189+X189+H189)*1.1+0.4*1.1</f>
        <v>6.156524</v>
      </c>
      <c r="AF189" s="26">
        <f t="shared" si="10"/>
        <v>8.2499285</v>
      </c>
    </row>
    <row r="190">
      <c r="A190" s="44" t="s">
        <v>599</v>
      </c>
      <c r="C190" s="30" t="s">
        <v>600</v>
      </c>
      <c r="D190" s="2" t="s">
        <v>61</v>
      </c>
      <c r="E190" s="31"/>
      <c r="F190" s="31" t="s">
        <v>594</v>
      </c>
      <c r="G190" s="13"/>
      <c r="H190" s="3">
        <v>0.05</v>
      </c>
      <c r="I190" s="3">
        <v>0.0</v>
      </c>
      <c r="J190" s="15">
        <v>990.0</v>
      </c>
      <c r="K190" s="16">
        <v>210.0</v>
      </c>
      <c r="L190" s="16">
        <v>34.0</v>
      </c>
      <c r="M190" s="16">
        <v>24.0</v>
      </c>
      <c r="N190" s="16">
        <v>2.0</v>
      </c>
      <c r="O190" s="17">
        <f t="shared" si="12"/>
        <v>210</v>
      </c>
      <c r="P190" s="18">
        <v>24.8</v>
      </c>
      <c r="Q190" s="6">
        <f t="array" ref="Q190">XLOOKUP(K190/1000, '运费（邮政）'!$A$2:$A$21, '运费（邮政）'!$B$2:$B$21, "超出范围", 1)</f>
        <v>1240</v>
      </c>
      <c r="R190" s="18">
        <v>9.99</v>
      </c>
      <c r="S190" s="19">
        <f t="shared" si="2"/>
        <v>6.517995493</v>
      </c>
      <c r="T190" s="20">
        <f t="shared" si="3"/>
        <v>34.79</v>
      </c>
      <c r="U190" s="21">
        <f t="array" ref="U190">XLOOKUP(O190/1000, '运费（橙联）'!$A$2:$A$57, '运费（橙联）'!$B$2:$B$57, "超出范围", 1)</f>
        <v>1581</v>
      </c>
      <c r="V190" s="22">
        <f>(P190*'参数表'!$C$2*(1+'参数表'!$C$3))*$B$1+'参数表'!$C$4</f>
        <v>584.55536</v>
      </c>
      <c r="W190" s="3">
        <v>0.127</v>
      </c>
      <c r="X190" s="4">
        <v>0.0135</v>
      </c>
      <c r="Y190" s="23">
        <f t="shared" si="4"/>
        <v>417.373592</v>
      </c>
      <c r="Z190" s="24">
        <f t="shared" si="5"/>
        <v>0.1185181713</v>
      </c>
      <c r="AA190" s="25">
        <f t="shared" si="6"/>
        <v>0.4215894869</v>
      </c>
      <c r="AB190" s="23">
        <f t="shared" si="7"/>
        <v>613.134793</v>
      </c>
      <c r="AC190" s="24">
        <f t="shared" si="8"/>
        <v>0.1241118326</v>
      </c>
      <c r="AD190" s="25">
        <f t="shared" si="9"/>
        <v>0.6193280737</v>
      </c>
      <c r="AE190" s="26">
        <f>P190*(1-I190)*(1+'参数表'!$C$6)*(W190+X190+H190)*1.1+0.4*1.1</f>
        <v>6.156524</v>
      </c>
      <c r="AF190" s="26">
        <f t="shared" si="10"/>
        <v>8.2499285</v>
      </c>
    </row>
    <row r="191">
      <c r="A191" s="44" t="s">
        <v>601</v>
      </c>
      <c r="C191" s="30" t="s">
        <v>602</v>
      </c>
      <c r="D191" s="2" t="s">
        <v>61</v>
      </c>
      <c r="E191" s="31"/>
      <c r="F191" s="31" t="s">
        <v>603</v>
      </c>
      <c r="G191" s="32"/>
      <c r="H191" s="3">
        <v>0.05</v>
      </c>
      <c r="I191" s="3">
        <v>0.0</v>
      </c>
      <c r="J191" s="15">
        <v>990.0</v>
      </c>
      <c r="K191" s="16">
        <v>210.0</v>
      </c>
      <c r="L191" s="16">
        <v>34.0</v>
      </c>
      <c r="M191" s="16">
        <v>24.0</v>
      </c>
      <c r="N191" s="16">
        <v>2.0</v>
      </c>
      <c r="O191" s="17">
        <f t="shared" si="12"/>
        <v>210</v>
      </c>
      <c r="P191" s="18">
        <v>24.8</v>
      </c>
      <c r="Q191" s="6">
        <f t="array" ref="Q191">XLOOKUP(K191/1000, '运费（邮政）'!$A$2:$A$21, '运费（邮政）'!$B$2:$B$21, "超出范围", 1)</f>
        <v>1240</v>
      </c>
      <c r="R191" s="18">
        <v>9.99</v>
      </c>
      <c r="S191" s="19">
        <f t="shared" si="2"/>
        <v>6.517995493</v>
      </c>
      <c r="T191" s="20">
        <f t="shared" si="3"/>
        <v>34.79</v>
      </c>
      <c r="U191" s="21">
        <f t="array" ref="U191">XLOOKUP(O191/1000, '运费（橙联）'!$A$2:$A$57, '运费（橙联）'!$B$2:$B$57, "超出范围", 1)</f>
        <v>1581</v>
      </c>
      <c r="V191" s="22">
        <f>(P191*'参数表'!$C$2*(1+'参数表'!$C$3))*$B$1+'参数表'!$C$4</f>
        <v>584.55536</v>
      </c>
      <c r="W191" s="3">
        <v>0.127</v>
      </c>
      <c r="X191" s="4">
        <v>0.0135</v>
      </c>
      <c r="Y191" s="23">
        <f t="shared" si="4"/>
        <v>417.373592</v>
      </c>
      <c r="Z191" s="24">
        <f t="shared" si="5"/>
        <v>0.1185181713</v>
      </c>
      <c r="AA191" s="25">
        <f t="shared" si="6"/>
        <v>0.4215894869</v>
      </c>
      <c r="AB191" s="23">
        <f t="shared" si="7"/>
        <v>613.134793</v>
      </c>
      <c r="AC191" s="24">
        <f t="shared" si="8"/>
        <v>0.1241118326</v>
      </c>
      <c r="AD191" s="25">
        <f t="shared" si="9"/>
        <v>0.6193280737</v>
      </c>
      <c r="AE191" s="26">
        <f>P191*(1-I191)*(1+'参数表'!$C$6)*(W191+X191+H191)*1.1+0.4*1.1</f>
        <v>6.156524</v>
      </c>
      <c r="AF191" s="26">
        <f t="shared" si="10"/>
        <v>8.2499285</v>
      </c>
    </row>
    <row r="192">
      <c r="A192" s="44" t="s">
        <v>604</v>
      </c>
      <c r="C192" s="30" t="s">
        <v>605</v>
      </c>
      <c r="D192" s="2" t="s">
        <v>61</v>
      </c>
      <c r="E192" s="31"/>
      <c r="F192" s="31" t="s">
        <v>603</v>
      </c>
      <c r="G192" s="32"/>
      <c r="H192" s="3">
        <v>0.05</v>
      </c>
      <c r="I192" s="3">
        <v>0.0</v>
      </c>
      <c r="J192" s="15">
        <v>990.0</v>
      </c>
      <c r="K192" s="16">
        <v>210.0</v>
      </c>
      <c r="L192" s="16">
        <v>34.0</v>
      </c>
      <c r="M192" s="16">
        <v>24.0</v>
      </c>
      <c r="N192" s="16">
        <v>2.0</v>
      </c>
      <c r="O192" s="17">
        <f t="shared" si="12"/>
        <v>210</v>
      </c>
      <c r="P192" s="18">
        <v>24.8</v>
      </c>
      <c r="Q192" s="6">
        <f t="array" ref="Q192">XLOOKUP(K192/1000, '运费（邮政）'!$A$2:$A$21, '运费（邮政）'!$B$2:$B$21, "超出范围", 1)</f>
        <v>1240</v>
      </c>
      <c r="R192" s="18">
        <v>9.99</v>
      </c>
      <c r="S192" s="19">
        <f t="shared" si="2"/>
        <v>6.517995493</v>
      </c>
      <c r="T192" s="20">
        <f t="shared" si="3"/>
        <v>34.79</v>
      </c>
      <c r="U192" s="21">
        <f t="array" ref="U192">XLOOKUP(O192/1000, '运费（橙联）'!$A$2:$A$57, '运费（橙联）'!$B$2:$B$57, "超出范围", 1)</f>
        <v>1581</v>
      </c>
      <c r="V192" s="22">
        <f>(P192*'参数表'!$C$2*(1+'参数表'!$C$3))*$B$1+'参数表'!$C$4</f>
        <v>584.55536</v>
      </c>
      <c r="W192" s="3">
        <v>0.127</v>
      </c>
      <c r="X192" s="4">
        <v>0.0135</v>
      </c>
      <c r="Y192" s="23">
        <f t="shared" si="4"/>
        <v>417.373592</v>
      </c>
      <c r="Z192" s="24">
        <f t="shared" si="5"/>
        <v>0.1185181713</v>
      </c>
      <c r="AA192" s="25">
        <f t="shared" si="6"/>
        <v>0.4215894869</v>
      </c>
      <c r="AB192" s="23">
        <f t="shared" si="7"/>
        <v>613.134793</v>
      </c>
      <c r="AC192" s="24">
        <f t="shared" si="8"/>
        <v>0.1241118326</v>
      </c>
      <c r="AD192" s="25">
        <f t="shared" si="9"/>
        <v>0.6193280737</v>
      </c>
      <c r="AE192" s="26">
        <f>P192*(1-I192)*(1+'参数表'!$C$6)*(W192+X192+H192)*1.1+0.4*1.1</f>
        <v>6.156524</v>
      </c>
      <c r="AF192" s="26">
        <f t="shared" si="10"/>
        <v>8.2499285</v>
      </c>
    </row>
    <row r="193">
      <c r="A193" s="44" t="s">
        <v>606</v>
      </c>
      <c r="C193" s="30" t="s">
        <v>607</v>
      </c>
      <c r="D193" s="2" t="s">
        <v>61</v>
      </c>
      <c r="E193" s="31"/>
      <c r="F193" s="31" t="s">
        <v>591</v>
      </c>
      <c r="G193" s="32"/>
      <c r="H193" s="3">
        <v>0.05</v>
      </c>
      <c r="I193" s="3">
        <v>0.0</v>
      </c>
      <c r="J193" s="15">
        <v>990.0</v>
      </c>
      <c r="K193" s="16">
        <v>210.0</v>
      </c>
      <c r="L193" s="16">
        <v>34.0</v>
      </c>
      <c r="M193" s="16">
        <v>24.0</v>
      </c>
      <c r="N193" s="16">
        <v>2.0</v>
      </c>
      <c r="O193" s="17">
        <f t="shared" si="12"/>
        <v>210</v>
      </c>
      <c r="P193" s="18">
        <v>24.8</v>
      </c>
      <c r="Q193" s="6">
        <f t="array" ref="Q193">XLOOKUP(K193/1000, '运费（邮政）'!$A$2:$A$21, '运费（邮政）'!$B$2:$B$21, "超出范围", 1)</f>
        <v>1240</v>
      </c>
      <c r="R193" s="18">
        <v>9.99</v>
      </c>
      <c r="S193" s="19">
        <f t="shared" si="2"/>
        <v>6.517995493</v>
      </c>
      <c r="T193" s="20">
        <f t="shared" si="3"/>
        <v>34.79</v>
      </c>
      <c r="U193" s="21">
        <f t="array" ref="U193">XLOOKUP(O193/1000, '运费（橙联）'!$A$2:$A$57, '运费（橙联）'!$B$2:$B$57, "超出范围", 1)</f>
        <v>1581</v>
      </c>
      <c r="V193" s="22">
        <f>(P193*'参数表'!$C$2*(1+'参数表'!$C$3))*$B$1+'参数表'!$C$4</f>
        <v>584.55536</v>
      </c>
      <c r="W193" s="3">
        <v>0.127</v>
      </c>
      <c r="X193" s="4">
        <v>0.0135</v>
      </c>
      <c r="Y193" s="23">
        <f t="shared" si="4"/>
        <v>417.373592</v>
      </c>
      <c r="Z193" s="24">
        <f t="shared" si="5"/>
        <v>0.1185181713</v>
      </c>
      <c r="AA193" s="25">
        <f t="shared" si="6"/>
        <v>0.4215894869</v>
      </c>
      <c r="AB193" s="23">
        <f t="shared" si="7"/>
        <v>613.134793</v>
      </c>
      <c r="AC193" s="24">
        <f t="shared" si="8"/>
        <v>0.1241118326</v>
      </c>
      <c r="AD193" s="25">
        <f t="shared" si="9"/>
        <v>0.6193280737</v>
      </c>
      <c r="AE193" s="26">
        <f>P193*(1-I193)*(1+'参数表'!$C$6)*(W193+X193+H193)*1.1+0.4*1.1</f>
        <v>6.156524</v>
      </c>
      <c r="AF193" s="26">
        <f t="shared" si="10"/>
        <v>8.2499285</v>
      </c>
    </row>
    <row r="194">
      <c r="A194" s="44" t="s">
        <v>608</v>
      </c>
      <c r="C194" s="30" t="s">
        <v>609</v>
      </c>
      <c r="D194" s="2" t="s">
        <v>61</v>
      </c>
      <c r="E194" s="31"/>
      <c r="F194" s="31" t="s">
        <v>603</v>
      </c>
      <c r="G194" s="32"/>
      <c r="H194" s="3">
        <v>0.05</v>
      </c>
      <c r="I194" s="3">
        <v>0.0</v>
      </c>
      <c r="J194" s="15">
        <v>990.0</v>
      </c>
      <c r="K194" s="16">
        <v>210.0</v>
      </c>
      <c r="L194" s="16">
        <v>34.0</v>
      </c>
      <c r="M194" s="16">
        <v>24.0</v>
      </c>
      <c r="N194" s="16">
        <v>2.0</v>
      </c>
      <c r="O194" s="17">
        <f t="shared" si="12"/>
        <v>210</v>
      </c>
      <c r="P194" s="18">
        <v>24.8</v>
      </c>
      <c r="Q194" s="6">
        <f t="array" ref="Q194">XLOOKUP(K194/1000, '运费（邮政）'!$A$2:$A$21, '运费（邮政）'!$B$2:$B$21, "超出范围", 1)</f>
        <v>1240</v>
      </c>
      <c r="R194" s="18">
        <v>9.99</v>
      </c>
      <c r="S194" s="19">
        <f t="shared" si="2"/>
        <v>6.517995493</v>
      </c>
      <c r="T194" s="20">
        <f t="shared" si="3"/>
        <v>34.79</v>
      </c>
      <c r="U194" s="21">
        <f t="array" ref="U194">XLOOKUP(O194/1000, '运费（橙联）'!$A$2:$A$57, '运费（橙联）'!$B$2:$B$57, "超出范围", 1)</f>
        <v>1581</v>
      </c>
      <c r="V194" s="22">
        <f>(P194*'参数表'!$C$2*(1+'参数表'!$C$3))*$B$1+'参数表'!$C$4</f>
        <v>584.55536</v>
      </c>
      <c r="W194" s="3">
        <v>0.127</v>
      </c>
      <c r="X194" s="4">
        <v>0.0135</v>
      </c>
      <c r="Y194" s="23">
        <f t="shared" si="4"/>
        <v>417.373592</v>
      </c>
      <c r="Z194" s="24">
        <f t="shared" si="5"/>
        <v>0.1185181713</v>
      </c>
      <c r="AA194" s="25">
        <f t="shared" si="6"/>
        <v>0.4215894869</v>
      </c>
      <c r="AB194" s="23">
        <f t="shared" si="7"/>
        <v>613.134793</v>
      </c>
      <c r="AC194" s="24">
        <f t="shared" si="8"/>
        <v>0.1241118326</v>
      </c>
      <c r="AD194" s="25">
        <f t="shared" si="9"/>
        <v>0.6193280737</v>
      </c>
      <c r="AE194" s="26">
        <f>P194*(1-I194)*(1+'参数表'!$C$6)*(W194+X194+H194)*1.1+0.4*1.1</f>
        <v>6.156524</v>
      </c>
      <c r="AF194" s="26">
        <f t="shared" si="10"/>
        <v>8.2499285</v>
      </c>
    </row>
    <row r="195">
      <c r="A195" s="54" t="s">
        <v>610</v>
      </c>
      <c r="C195" s="30" t="s">
        <v>611</v>
      </c>
      <c r="D195" s="2" t="s">
        <v>61</v>
      </c>
      <c r="E195" s="14"/>
      <c r="F195" s="14"/>
      <c r="G195" s="13" t="s">
        <v>612</v>
      </c>
      <c r="H195" s="3">
        <v>0.05</v>
      </c>
      <c r="I195" s="3">
        <v>0.0</v>
      </c>
      <c r="J195" s="15">
        <v>4000.0</v>
      </c>
      <c r="K195" s="16">
        <v>210.0</v>
      </c>
      <c r="L195" s="16">
        <v>34.0</v>
      </c>
      <c r="M195" s="16">
        <v>24.0</v>
      </c>
      <c r="N195" s="16">
        <v>2.0</v>
      </c>
      <c r="O195" s="17">
        <f t="shared" si="12"/>
        <v>210</v>
      </c>
      <c r="P195" s="18">
        <v>59.8</v>
      </c>
      <c r="Q195" s="6">
        <f t="array" ref="Q195">XLOOKUP(K195/1000, '运费（邮政）'!$A$2:$A$21, '运费（邮政）'!$B$2:$B$21, "超出范围", 1)</f>
        <v>1240</v>
      </c>
      <c r="R195" s="18">
        <v>18.0</v>
      </c>
      <c r="S195" s="19">
        <f t="shared" si="2"/>
        <v>10.09149549</v>
      </c>
      <c r="T195" s="20">
        <f t="shared" si="3"/>
        <v>77.8</v>
      </c>
      <c r="U195" s="21">
        <f t="array" ref="U195">XLOOKUP(O195/1000, '运费（橙联）'!$A$2:$A$57, '运费（橙联）'!$B$2:$B$57, "超出范围", 1)</f>
        <v>1581</v>
      </c>
      <c r="V195" s="22">
        <f>(P195*'参数表'!$C$2*(1+'参数表'!$C$3))*$B$1+'参数表'!$C$4</f>
        <v>1091.99236</v>
      </c>
      <c r="W195" s="3">
        <v>0.127</v>
      </c>
      <c r="X195" s="4">
        <v>0.0135</v>
      </c>
      <c r="Y195" s="23">
        <f t="shared" si="4"/>
        <v>1231.763742</v>
      </c>
      <c r="Z195" s="24">
        <f t="shared" si="5"/>
        <v>0.1450567316</v>
      </c>
      <c r="AA195" s="25">
        <f t="shared" si="6"/>
        <v>0.3079409355</v>
      </c>
      <c r="AB195" s="23">
        <f t="shared" si="7"/>
        <v>1819.161582</v>
      </c>
      <c r="AC195" s="24">
        <f t="shared" si="8"/>
        <v>0.1646657719</v>
      </c>
      <c r="AD195" s="25">
        <f t="shared" si="9"/>
        <v>0.4547903955</v>
      </c>
      <c r="AE195" s="26">
        <f>P195*(1-I195)*(1+'参数表'!$C$6)*(W195+X195+H195)*1.1+0.4*1.1</f>
        <v>14.224199</v>
      </c>
      <c r="AF195" s="26">
        <f t="shared" si="10"/>
        <v>17.996099</v>
      </c>
    </row>
    <row r="196">
      <c r="A196" s="44" t="s">
        <v>613</v>
      </c>
      <c r="C196" s="30" t="s">
        <v>614</v>
      </c>
      <c r="D196" s="2" t="s">
        <v>61</v>
      </c>
      <c r="E196" s="14"/>
      <c r="F196" s="14"/>
      <c r="G196" s="13" t="s">
        <v>615</v>
      </c>
      <c r="H196" s="3">
        <v>0.05</v>
      </c>
      <c r="I196" s="3">
        <v>0.0</v>
      </c>
      <c r="J196" s="15">
        <v>4000.0</v>
      </c>
      <c r="K196" s="16">
        <v>210.0</v>
      </c>
      <c r="L196" s="16">
        <v>34.0</v>
      </c>
      <c r="M196" s="16">
        <v>24.0</v>
      </c>
      <c r="N196" s="16">
        <v>2.0</v>
      </c>
      <c r="O196" s="17">
        <f t="shared" si="12"/>
        <v>210</v>
      </c>
      <c r="P196" s="18">
        <v>59.8</v>
      </c>
      <c r="Q196" s="6">
        <f t="array" ref="Q196">XLOOKUP(K196/1000, '运费（邮政）'!$A$2:$A$21, '运费（邮政）'!$B$2:$B$21, "超出范围", 1)</f>
        <v>1240</v>
      </c>
      <c r="R196" s="18">
        <v>18.0</v>
      </c>
      <c r="S196" s="19">
        <f t="shared" si="2"/>
        <v>10.09149549</v>
      </c>
      <c r="T196" s="20">
        <f t="shared" si="3"/>
        <v>77.8</v>
      </c>
      <c r="U196" s="21">
        <f t="array" ref="U196">XLOOKUP(O196/1000, '运费（橙联）'!$A$2:$A$57, '运费（橙联）'!$B$2:$B$57, "超出范围", 1)</f>
        <v>1581</v>
      </c>
      <c r="V196" s="22">
        <f>(P196*'参数表'!$C$2*(1+'参数表'!$C$3))*$B$1+'参数表'!$C$4</f>
        <v>1091.99236</v>
      </c>
      <c r="W196" s="3">
        <v>0.127</v>
      </c>
      <c r="X196" s="4">
        <v>0.0135</v>
      </c>
      <c r="Y196" s="23">
        <f t="shared" si="4"/>
        <v>1231.763742</v>
      </c>
      <c r="Z196" s="24">
        <f t="shared" si="5"/>
        <v>0.1450567316</v>
      </c>
      <c r="AA196" s="25">
        <f t="shared" si="6"/>
        <v>0.3079409355</v>
      </c>
      <c r="AB196" s="23">
        <f t="shared" si="7"/>
        <v>1819.161582</v>
      </c>
      <c r="AC196" s="24">
        <f t="shared" si="8"/>
        <v>0.1646657719</v>
      </c>
      <c r="AD196" s="25">
        <f t="shared" si="9"/>
        <v>0.4547903955</v>
      </c>
      <c r="AE196" s="26">
        <f>P196*(1-I196)*(1+'参数表'!$C$6)*(W196+X196+H196)*1.1+0.4*1.1</f>
        <v>14.224199</v>
      </c>
      <c r="AF196" s="26">
        <f t="shared" si="10"/>
        <v>17.996099</v>
      </c>
    </row>
    <row r="197">
      <c r="C197" s="60" t="s">
        <v>616</v>
      </c>
      <c r="E197" s="31"/>
      <c r="F197" s="31" t="s">
        <v>617</v>
      </c>
      <c r="G197" s="13" t="s">
        <v>618</v>
      </c>
      <c r="H197" s="3">
        <v>0.05</v>
      </c>
      <c r="I197" s="3">
        <v>0.0</v>
      </c>
      <c r="J197" s="15">
        <v>8888.0</v>
      </c>
      <c r="K197" s="16">
        <v>505.0</v>
      </c>
      <c r="L197" s="16">
        <v>34.0</v>
      </c>
      <c r="M197" s="16">
        <v>34.0</v>
      </c>
      <c r="N197" s="16">
        <v>20.0</v>
      </c>
      <c r="O197" s="17">
        <f t="shared" si="12"/>
        <v>2890</v>
      </c>
      <c r="P197" s="18">
        <v>116.77</v>
      </c>
      <c r="Q197" s="6">
        <f t="array" ref="Q197">XLOOKUP(K197/1000, '运费（邮政）'!$A$2:$A$21, '运费（邮政）'!$B$2:$B$21, "超出范围", 1)</f>
        <v>1780</v>
      </c>
      <c r="R197" s="18">
        <v>65.0</v>
      </c>
      <c r="S197" s="19">
        <f t="shared" si="2"/>
        <v>35.87292123</v>
      </c>
      <c r="T197" s="20">
        <f t="shared" si="3"/>
        <v>181.77</v>
      </c>
      <c r="U197" s="21">
        <f t="array" ref="U197">XLOOKUP(O197/1000, '运费（橙联）'!$A$2:$A$57, '运费（橙联）'!$B$2:$B$57, "超出范围", 1)</f>
        <v>4956</v>
      </c>
      <c r="V197" s="22">
        <f>(P197*'参数表'!$C$2*(1+'参数表'!$C$3))*$B$1+'参数表'!$C$4</f>
        <v>1917.954814</v>
      </c>
      <c r="W197" s="3">
        <v>0.127</v>
      </c>
      <c r="X197" s="4">
        <v>0.0135</v>
      </c>
      <c r="Y197" s="23">
        <f t="shared" si="4"/>
        <v>2028.778223</v>
      </c>
      <c r="Z197" s="24">
        <f t="shared" si="5"/>
        <v>0.1223530923</v>
      </c>
      <c r="AA197" s="25">
        <f t="shared" si="6"/>
        <v>0.2282603762</v>
      </c>
      <c r="AB197" s="23">
        <f t="shared" si="7"/>
        <v>4230.676909</v>
      </c>
      <c r="AC197" s="24">
        <f t="shared" si="8"/>
        <v>0.163907682</v>
      </c>
      <c r="AD197" s="25">
        <f t="shared" si="9"/>
        <v>0.4759987522</v>
      </c>
      <c r="AE197" s="26">
        <f>P197*(1-I197)*(1+'参数表'!$C$6)*(W197+X197+H197)*1.1+0.4*1.1</f>
        <v>27.35606885</v>
      </c>
      <c r="AF197" s="26">
        <f t="shared" si="10"/>
        <v>40.97681885</v>
      </c>
    </row>
    <row r="198">
      <c r="A198" s="44" t="s">
        <v>619</v>
      </c>
      <c r="C198" s="60" t="s">
        <v>620</v>
      </c>
      <c r="D198" s="2" t="s">
        <v>61</v>
      </c>
      <c r="E198" s="14"/>
      <c r="F198" s="14"/>
      <c r="G198" s="13" t="s">
        <v>621</v>
      </c>
      <c r="H198" s="3">
        <v>0.05</v>
      </c>
      <c r="I198" s="3">
        <v>0.0</v>
      </c>
      <c r="J198" s="15">
        <v>3696.0</v>
      </c>
      <c r="K198" s="16">
        <v>200.0</v>
      </c>
      <c r="L198" s="16">
        <v>14.0</v>
      </c>
      <c r="M198" s="16">
        <v>18.0</v>
      </c>
      <c r="N198" s="16">
        <v>24.0</v>
      </c>
      <c r="O198" s="17">
        <f t="shared" si="12"/>
        <v>756</v>
      </c>
      <c r="P198" s="18">
        <v>53.8</v>
      </c>
      <c r="Q198" s="6">
        <f t="array" ref="Q198">XLOOKUP(K198/1000, '运费（邮政）'!$A$2:$A$21, '运费（邮政）'!$B$2:$B$21, "超出范围", 1)</f>
        <v>1060</v>
      </c>
      <c r="R198" s="18">
        <v>29.99</v>
      </c>
      <c r="S198" s="19">
        <f t="shared" si="2"/>
        <v>18.64790958</v>
      </c>
      <c r="T198" s="20">
        <f t="shared" si="3"/>
        <v>83.79</v>
      </c>
      <c r="U198" s="21">
        <f t="array" ref="U198">XLOOKUP(O198/1000, '运费（橙联）'!$A$2:$A$57, '运费（橙联）'!$B$2:$B$57, "超出范围", 1)</f>
        <v>2703</v>
      </c>
      <c r="V198" s="22">
        <f>(P198*'参数表'!$C$2*(1+'参数表'!$C$3))*$B$1+'参数表'!$C$4</f>
        <v>1005.00316</v>
      </c>
      <c r="W198" s="3">
        <v>0.127</v>
      </c>
      <c r="X198" s="4">
        <v>0.0135</v>
      </c>
      <c r="Y198" s="23">
        <f t="shared" si="4"/>
        <v>1060.154002</v>
      </c>
      <c r="Z198" s="24">
        <f t="shared" si="5"/>
        <v>0.1387708783</v>
      </c>
      <c r="AA198" s="25">
        <f t="shared" si="6"/>
        <v>0.286838204</v>
      </c>
      <c r="AB198" s="23">
        <f t="shared" si="7"/>
        <v>1778.345403</v>
      </c>
      <c r="AC198" s="24">
        <f t="shared" si="8"/>
        <v>0.1494636493</v>
      </c>
      <c r="AD198" s="25">
        <f t="shared" si="9"/>
        <v>0.4811540593</v>
      </c>
      <c r="AE198" s="26">
        <f>P198*(1-I198)*(1+'参数表'!$C$6)*(W198+X198+H198)*1.1+0.4*1.1</f>
        <v>12.841169</v>
      </c>
      <c r="AF198" s="26">
        <f t="shared" si="10"/>
        <v>19.1255735</v>
      </c>
    </row>
    <row r="199">
      <c r="A199" s="44" t="s">
        <v>622</v>
      </c>
      <c r="C199" s="60" t="s">
        <v>623</v>
      </c>
      <c r="E199" s="14"/>
      <c r="F199" s="14"/>
      <c r="G199" s="13" t="s">
        <v>624</v>
      </c>
      <c r="H199" s="3">
        <v>0.05</v>
      </c>
      <c r="I199" s="3">
        <v>0.0</v>
      </c>
      <c r="J199" s="15">
        <v>1023.0</v>
      </c>
      <c r="K199" s="16">
        <v>140.0</v>
      </c>
      <c r="L199" s="16">
        <v>20.0</v>
      </c>
      <c r="M199" s="16">
        <v>11.0</v>
      </c>
      <c r="N199" s="16">
        <v>15.0</v>
      </c>
      <c r="O199" s="17">
        <f t="shared" si="12"/>
        <v>412.5</v>
      </c>
      <c r="P199" s="18">
        <v>26.49</v>
      </c>
      <c r="Q199" s="6">
        <f t="array" ref="Q199">XLOOKUP(K199/1000, '运费（邮政）'!$A$2:$A$21, '运费（邮政）'!$B$2:$B$21, "超出范围", 1)</f>
        <v>1060</v>
      </c>
      <c r="R199" s="18">
        <v>14.99</v>
      </c>
      <c r="S199" s="19">
        <f t="shared" si="2"/>
        <v>11.33138956</v>
      </c>
      <c r="T199" s="20">
        <f t="shared" si="3"/>
        <v>41.48</v>
      </c>
      <c r="U199" s="21">
        <f t="array" ref="U199">XLOOKUP(O199/1000, '运费（橙联）'!$A$2:$A$57, '运费（橙联）'!$B$2:$B$57, "超出范围", 1)</f>
        <v>2060</v>
      </c>
      <c r="V199" s="22">
        <f>(P199*'参数表'!$C$2*(1+'参数表'!$C$3))*$B$1+'参数表'!$C$4</f>
        <v>609.057318</v>
      </c>
      <c r="W199" s="3">
        <v>0.127</v>
      </c>
      <c r="X199" s="4">
        <v>0.0135</v>
      </c>
      <c r="Y199" s="23">
        <f t="shared" si="4"/>
        <v>749.0370021</v>
      </c>
      <c r="Z199" s="24">
        <f t="shared" si="5"/>
        <v>0.1991282924</v>
      </c>
      <c r="AA199" s="25">
        <f t="shared" si="6"/>
        <v>0.732196483</v>
      </c>
      <c r="AB199" s="23">
        <f t="shared" si="7"/>
        <v>822.5157451</v>
      </c>
      <c r="AC199" s="24">
        <f t="shared" si="8"/>
        <v>0.1396423433</v>
      </c>
      <c r="AD199" s="25">
        <f t="shared" si="9"/>
        <v>0.8040232112</v>
      </c>
      <c r="AE199" s="26">
        <f>P199*(1-I199)*(1+'参数表'!$C$6)*(W199+X199+H199)*1.1+0.4*1.1</f>
        <v>6.54607745</v>
      </c>
      <c r="AF199" s="26">
        <f t="shared" si="10"/>
        <v>9.68723195</v>
      </c>
    </row>
    <row r="200">
      <c r="A200" s="44" t="s">
        <v>625</v>
      </c>
      <c r="C200" s="60" t="s">
        <v>626</v>
      </c>
      <c r="D200" s="2" t="s">
        <v>61</v>
      </c>
      <c r="E200" s="14"/>
      <c r="F200" s="14"/>
      <c r="G200" s="13" t="s">
        <v>627</v>
      </c>
      <c r="H200" s="3">
        <v>0.05</v>
      </c>
      <c r="I200" s="3">
        <v>0.0</v>
      </c>
      <c r="J200" s="15">
        <v>1072.0</v>
      </c>
      <c r="K200" s="16">
        <v>310.0</v>
      </c>
      <c r="L200" s="16">
        <v>10.0</v>
      </c>
      <c r="M200" s="16">
        <v>8.0</v>
      </c>
      <c r="N200" s="16">
        <v>8.0</v>
      </c>
      <c r="O200" s="17">
        <f t="shared" si="12"/>
        <v>310</v>
      </c>
      <c r="P200" s="18">
        <v>27.8</v>
      </c>
      <c r="Q200" s="6">
        <f t="array" ref="Q200">XLOOKUP(K200/1000, '运费（邮政）'!$A$2:$A$21, '运费（邮政）'!$B$2:$B$21, "超出范围", 1)</f>
        <v>1420</v>
      </c>
      <c r="R200" s="18">
        <v>12.99</v>
      </c>
      <c r="S200" s="19">
        <f t="shared" si="2"/>
        <v>6.944013803</v>
      </c>
      <c r="T200" s="20">
        <f t="shared" si="3"/>
        <v>40.79</v>
      </c>
      <c r="U200" s="21">
        <f t="array" ref="U200">XLOOKUP(O200/1000, '运费（橙联）'!$A$2:$A$57, '运费（橙联）'!$B$2:$B$57, "超出范围", 1)</f>
        <v>1778</v>
      </c>
      <c r="V200" s="22">
        <f>(P200*'参数表'!$C$2*(1+'参数表'!$C$3))*$B$1+'参数表'!$C$4</f>
        <v>628.04996</v>
      </c>
      <c r="W200" s="3">
        <v>0.127</v>
      </c>
      <c r="X200" s="4">
        <v>0.0135</v>
      </c>
      <c r="Y200" s="23">
        <f t="shared" si="4"/>
        <v>483.178462</v>
      </c>
      <c r="Z200" s="24">
        <f t="shared" si="5"/>
        <v>0.1223980297</v>
      </c>
      <c r="AA200" s="25">
        <f t="shared" si="6"/>
        <v>0.4507261772</v>
      </c>
      <c r="AB200" s="23">
        <f t="shared" si="7"/>
        <v>955.176763</v>
      </c>
      <c r="AC200" s="24">
        <f t="shared" si="8"/>
        <v>0.1649079903</v>
      </c>
      <c r="AD200" s="25">
        <f t="shared" si="9"/>
        <v>0.8910230998</v>
      </c>
      <c r="AE200" s="26">
        <f>P200*(1-I200)*(1+'参数表'!$C$6)*(W200+X200+H200)*1.1+0.4*1.1</f>
        <v>6.848039</v>
      </c>
      <c r="AF200" s="26">
        <f t="shared" si="10"/>
        <v>9.5700935</v>
      </c>
    </row>
    <row r="201">
      <c r="A201" s="44" t="s">
        <v>625</v>
      </c>
      <c r="C201" s="60" t="s">
        <v>628</v>
      </c>
      <c r="D201" s="2" t="s">
        <v>61</v>
      </c>
      <c r="E201" s="14"/>
      <c r="F201" s="14"/>
      <c r="G201" s="13" t="s">
        <v>629</v>
      </c>
      <c r="H201" s="3">
        <v>0.05</v>
      </c>
      <c r="I201" s="3">
        <v>0.0</v>
      </c>
      <c r="J201" s="15">
        <v>1744.0</v>
      </c>
      <c r="K201" s="16">
        <v>210.0</v>
      </c>
      <c r="L201" s="16">
        <v>12.0</v>
      </c>
      <c r="M201" s="16">
        <v>8.0</v>
      </c>
      <c r="N201" s="16">
        <v>8.0</v>
      </c>
      <c r="O201" s="17">
        <f t="shared" si="12"/>
        <v>210</v>
      </c>
      <c r="P201" s="18">
        <v>32.8</v>
      </c>
      <c r="Q201" s="6">
        <f t="array" ref="Q201">XLOOKUP(K201/1000, '运费（邮政）'!$A$2:$A$21, '运费（邮政）'!$B$2:$B$21, "超出范围", 1)</f>
        <v>1240</v>
      </c>
      <c r="R201" s="18">
        <v>12.99</v>
      </c>
      <c r="S201" s="19">
        <f t="shared" si="2"/>
        <v>7.334795493</v>
      </c>
      <c r="T201" s="20">
        <f t="shared" si="3"/>
        <v>45.79</v>
      </c>
      <c r="U201" s="21">
        <f t="array" ref="U201">XLOOKUP(O201/1000, '运费（橙联）'!$A$2:$A$57, '运费（橙联）'!$B$2:$B$57, "超出范围", 1)</f>
        <v>1581</v>
      </c>
      <c r="V201" s="22">
        <f>(P201*'参数表'!$C$2*(1+'参数表'!$C$3))*$B$1+'参数表'!$C$4</f>
        <v>700.54096</v>
      </c>
      <c r="W201" s="3">
        <v>0.127</v>
      </c>
      <c r="X201" s="4">
        <v>0.0135</v>
      </c>
      <c r="Y201" s="23">
        <f t="shared" si="4"/>
        <v>537.519912</v>
      </c>
      <c r="Z201" s="24">
        <f t="shared" si="5"/>
        <v>0.1154070577</v>
      </c>
      <c r="AA201" s="25">
        <f t="shared" si="6"/>
        <v>0.3082109587</v>
      </c>
      <c r="AB201" s="23">
        <f t="shared" si="7"/>
        <v>954.027213</v>
      </c>
      <c r="AC201" s="24">
        <f t="shared" si="8"/>
        <v>0.1467242083</v>
      </c>
      <c r="AD201" s="25">
        <f t="shared" si="9"/>
        <v>0.5470339524</v>
      </c>
      <c r="AE201" s="26">
        <f>P201*(1-I201)*(1+'参数表'!$C$6)*(W201+X201+H201)*1.1+0.4*1.1</f>
        <v>8.000564</v>
      </c>
      <c r="AF201" s="26">
        <f t="shared" si="10"/>
        <v>10.7226185</v>
      </c>
    </row>
    <row r="202">
      <c r="A202" s="44" t="s">
        <v>630</v>
      </c>
      <c r="C202" s="60" t="s">
        <v>631</v>
      </c>
      <c r="D202" s="2" t="s">
        <v>61</v>
      </c>
      <c r="E202" s="14"/>
      <c r="F202" s="14"/>
      <c r="G202" s="32"/>
      <c r="H202" s="3">
        <v>0.05</v>
      </c>
      <c r="I202" s="3">
        <v>0.0</v>
      </c>
      <c r="J202" s="15">
        <v>2200.0</v>
      </c>
      <c r="K202" s="16">
        <v>210.0</v>
      </c>
      <c r="L202" s="16">
        <v>8.0</v>
      </c>
      <c r="M202" s="16">
        <v>6.0</v>
      </c>
      <c r="N202" s="16">
        <v>9.0</v>
      </c>
      <c r="O202" s="17">
        <f t="shared" si="12"/>
        <v>210</v>
      </c>
      <c r="P202" s="18">
        <v>38.8</v>
      </c>
      <c r="Q202" s="6">
        <f t="array" ref="Q202">XLOOKUP(K202/1000, '运费（邮政）'!$A$2:$A$21, '运费（邮政）'!$B$2:$B$21, "超出范围", 1)</f>
        <v>1240</v>
      </c>
      <c r="R202" s="18">
        <v>12.99</v>
      </c>
      <c r="S202" s="19">
        <f t="shared" si="2"/>
        <v>7.947395493</v>
      </c>
      <c r="T202" s="20">
        <f t="shared" si="3"/>
        <v>51.79</v>
      </c>
      <c r="U202" s="21">
        <f t="array" ref="U202">XLOOKUP(O202/1000, '运费（橙联）'!$A$2:$A$57, '运费（橙联）'!$B$2:$B$57, "超出范围", 1)</f>
        <v>1581</v>
      </c>
      <c r="V202" s="22">
        <f>(P202*'参数表'!$C$2*(1+'参数表'!$C$3))*$B$1+'参数表'!$C$4</f>
        <v>787.53016</v>
      </c>
      <c r="W202" s="3">
        <v>0.127</v>
      </c>
      <c r="X202" s="4">
        <v>0.0135</v>
      </c>
      <c r="Y202" s="23">
        <f t="shared" si="4"/>
        <v>737.129652</v>
      </c>
      <c r="Z202" s="24">
        <f t="shared" si="5"/>
        <v>0.1337900486</v>
      </c>
      <c r="AA202" s="25">
        <f t="shared" si="6"/>
        <v>0.3350589327</v>
      </c>
      <c r="AB202" s="23">
        <f t="shared" si="7"/>
        <v>1066.647753</v>
      </c>
      <c r="AC202" s="24">
        <f t="shared" si="8"/>
        <v>0.1450396581</v>
      </c>
      <c r="AD202" s="25">
        <f t="shared" si="9"/>
        <v>0.4848398877</v>
      </c>
      <c r="AE202" s="26">
        <f>P202*(1-I202)*(1+'参数表'!$C$6)*(W202+X202+H202)*1.1+0.4*1.1</f>
        <v>9.383594</v>
      </c>
      <c r="AF202" s="26">
        <f t="shared" si="10"/>
        <v>12.1056485</v>
      </c>
    </row>
    <row r="203">
      <c r="A203" s="44" t="s">
        <v>632</v>
      </c>
      <c r="C203" s="60" t="s">
        <v>633</v>
      </c>
      <c r="D203" s="2" t="s">
        <v>61</v>
      </c>
      <c r="E203" s="14"/>
      <c r="F203" s="14"/>
      <c r="G203" s="13" t="s">
        <v>634</v>
      </c>
      <c r="H203" s="3">
        <v>0.05</v>
      </c>
      <c r="I203" s="3">
        <v>0.0</v>
      </c>
      <c r="J203" s="15">
        <v>2600.0</v>
      </c>
      <c r="K203" s="16">
        <v>280.0</v>
      </c>
      <c r="L203" s="16">
        <v>7.0</v>
      </c>
      <c r="M203" s="16">
        <v>5.0</v>
      </c>
      <c r="N203" s="16">
        <v>8.0</v>
      </c>
      <c r="O203" s="17">
        <f t="shared" si="12"/>
        <v>280</v>
      </c>
      <c r="P203" s="18">
        <v>43.8</v>
      </c>
      <c r="Q203" s="6">
        <f t="array" ref="Q203">XLOOKUP(K203/1000, '运费（邮政）'!$A$2:$A$21, '运费（邮政）'!$B$2:$B$21, "超出范围", 1)</f>
        <v>1240</v>
      </c>
      <c r="R203" s="18">
        <v>15.99</v>
      </c>
      <c r="S203" s="19">
        <f t="shared" si="2"/>
        <v>8.457895493</v>
      </c>
      <c r="T203" s="20">
        <f t="shared" si="3"/>
        <v>59.79</v>
      </c>
      <c r="U203" s="21">
        <f t="array" ref="U203">XLOOKUP(O203/1000, '运费（橙联）'!$A$2:$A$57, '运费（橙联）'!$B$2:$B$57, "超出范围", 1)</f>
        <v>1581</v>
      </c>
      <c r="V203" s="22">
        <f>(P203*'参数表'!$C$2*(1+'参数表'!$C$3))*$B$1+'参数表'!$C$4</f>
        <v>860.02116</v>
      </c>
      <c r="W203" s="3">
        <v>0.127</v>
      </c>
      <c r="X203" s="4">
        <v>0.0135</v>
      </c>
      <c r="Y203" s="23">
        <f t="shared" si="4"/>
        <v>883.471102</v>
      </c>
      <c r="Z203" s="24">
        <f t="shared" si="5"/>
        <v>0.1420462895</v>
      </c>
      <c r="AA203" s="25">
        <f t="shared" si="6"/>
        <v>0.3397965777</v>
      </c>
      <c r="AB203" s="23">
        <f t="shared" si="7"/>
        <v>1477.229903</v>
      </c>
      <c r="AC203" s="24">
        <f t="shared" si="8"/>
        <v>0.1739927661</v>
      </c>
      <c r="AD203" s="25">
        <f t="shared" si="9"/>
        <v>0.5681653473</v>
      </c>
      <c r="AE203" s="26">
        <f>P203*(1-I203)*(1+'参数表'!$C$6)*(W203+X203+H203)*1.1+0.4*1.1</f>
        <v>10.536119</v>
      </c>
      <c r="AF203" s="26">
        <f t="shared" si="10"/>
        <v>13.8868235</v>
      </c>
    </row>
    <row r="204">
      <c r="A204" s="44" t="s">
        <v>635</v>
      </c>
      <c r="C204" s="60" t="s">
        <v>636</v>
      </c>
      <c r="D204" s="2" t="s">
        <v>594</v>
      </c>
      <c r="E204" s="14"/>
      <c r="F204" s="14"/>
      <c r="G204" s="32"/>
      <c r="H204" s="3">
        <v>0.05</v>
      </c>
      <c r="I204" s="3">
        <v>0.0</v>
      </c>
      <c r="J204" s="15">
        <v>1680.0</v>
      </c>
      <c r="K204" s="16">
        <v>310.0</v>
      </c>
      <c r="L204" s="16">
        <v>34.0</v>
      </c>
      <c r="M204" s="16">
        <v>24.0</v>
      </c>
      <c r="N204" s="16">
        <v>2.0</v>
      </c>
      <c r="O204" s="17">
        <f t="shared" si="12"/>
        <v>310</v>
      </c>
      <c r="P204" s="18">
        <v>34.8</v>
      </c>
      <c r="Q204" s="6">
        <f t="array" ref="Q204">XLOOKUP(K204/1000, '运费（邮政）'!$A$2:$A$21, '运费（邮政）'!$B$2:$B$21, "超出范围", 1)</f>
        <v>1420</v>
      </c>
      <c r="R204" s="18">
        <v>12.99</v>
      </c>
      <c r="S204" s="19">
        <f t="shared" si="2"/>
        <v>7.658713803</v>
      </c>
      <c r="T204" s="20">
        <f t="shared" si="3"/>
        <v>47.79</v>
      </c>
      <c r="U204" s="21">
        <f t="array" ref="U204">XLOOKUP(O204/1000, '运费（橙联）'!$A$2:$A$57, '运费（橙联）'!$B$2:$B$57, "超出范围", 1)</f>
        <v>1778</v>
      </c>
      <c r="V204" s="22">
        <f>(P204*'参数表'!$C$2*(1+'参数表'!$C$3))*$B$1+'参数表'!$C$4</f>
        <v>729.53736</v>
      </c>
      <c r="W204" s="3">
        <v>0.127</v>
      </c>
      <c r="X204" s="4">
        <v>0.0135</v>
      </c>
      <c r="Y204" s="23">
        <f t="shared" si="4"/>
        <v>640.056492</v>
      </c>
      <c r="Z204" s="24">
        <f t="shared" si="5"/>
        <v>0.1295241404</v>
      </c>
      <c r="AA204" s="25">
        <f t="shared" si="6"/>
        <v>0.3809860071</v>
      </c>
      <c r="AB204" s="23">
        <f t="shared" si="7"/>
        <v>1010.567393</v>
      </c>
      <c r="AC204" s="24">
        <f t="shared" si="8"/>
        <v>0.1489155008</v>
      </c>
      <c r="AD204" s="25">
        <f t="shared" si="9"/>
        <v>0.6015282101</v>
      </c>
      <c r="AE204" s="26">
        <f>P204*(1-I204)*(1+'参数表'!$C$6)*(W204+X204+H204)*1.1+0.4*1.1</f>
        <v>8.461574</v>
      </c>
      <c r="AF204" s="26">
        <f t="shared" si="10"/>
        <v>11.1836285</v>
      </c>
    </row>
    <row r="205">
      <c r="A205" s="44" t="s">
        <v>637</v>
      </c>
      <c r="C205" s="60" t="s">
        <v>638</v>
      </c>
      <c r="D205" s="2" t="s">
        <v>61</v>
      </c>
      <c r="E205" s="14"/>
      <c r="F205" s="14"/>
      <c r="G205" s="13" t="s">
        <v>639</v>
      </c>
      <c r="H205" s="3">
        <v>0.05</v>
      </c>
      <c r="I205" s="3">
        <v>0.0</v>
      </c>
      <c r="J205" s="15">
        <v>3200.0</v>
      </c>
      <c r="K205" s="16">
        <v>140.0</v>
      </c>
      <c r="L205" s="16">
        <v>34.0</v>
      </c>
      <c r="M205" s="16">
        <v>24.0</v>
      </c>
      <c r="N205" s="16">
        <v>2.0</v>
      </c>
      <c r="O205" s="17">
        <f t="shared" si="12"/>
        <v>204</v>
      </c>
      <c r="P205" s="18">
        <v>49.8</v>
      </c>
      <c r="Q205" s="6">
        <f t="array" ref="Q205">XLOOKUP(K205/1000, '运费（邮政）'!$A$2:$A$21, '运费（邮政）'!$B$2:$B$21, "超出范围", 1)</f>
        <v>1060</v>
      </c>
      <c r="R205" s="18">
        <v>18.0</v>
      </c>
      <c r="S205" s="19">
        <f t="shared" si="2"/>
        <v>10.33810113</v>
      </c>
      <c r="T205" s="20">
        <f t="shared" si="3"/>
        <v>67.8</v>
      </c>
      <c r="U205" s="21">
        <f t="array" ref="U205">XLOOKUP(O205/1000, '运费（橙联）'!$A$2:$A$57, '运费（橙联）'!$B$2:$B$57, "超出范围", 1)</f>
        <v>1581</v>
      </c>
      <c r="V205" s="22">
        <f>(P205*'参数表'!$C$2*(1+'参数表'!$C$3))*$B$1+'参数表'!$C$4</f>
        <v>947.01036</v>
      </c>
      <c r="W205" s="3">
        <v>0.127</v>
      </c>
      <c r="X205" s="4">
        <v>0.0135</v>
      </c>
      <c r="Y205" s="23">
        <f t="shared" si="4"/>
        <v>1119.080842</v>
      </c>
      <c r="Z205" s="24">
        <f t="shared" si="5"/>
        <v>0.1582500201</v>
      </c>
      <c r="AA205" s="25">
        <f t="shared" si="6"/>
        <v>0.3497127631</v>
      </c>
      <c r="AB205" s="23">
        <f t="shared" si="7"/>
        <v>1671.460682</v>
      </c>
      <c r="AC205" s="24">
        <f t="shared" si="8"/>
        <v>0.1736113551</v>
      </c>
      <c r="AD205" s="25">
        <f t="shared" si="9"/>
        <v>0.5223314631</v>
      </c>
      <c r="AE205" s="26">
        <f>P205*(1-I205)*(1+'参数表'!$C$6)*(W205+X205+H205)*1.1+0.4*1.1</f>
        <v>11.919149</v>
      </c>
      <c r="AF205" s="26">
        <f t="shared" si="10"/>
        <v>15.691049</v>
      </c>
    </row>
    <row r="206">
      <c r="A206" s="44" t="s">
        <v>640</v>
      </c>
      <c r="B206" s="44" t="s">
        <v>641</v>
      </c>
      <c r="C206" s="60" t="s">
        <v>642</v>
      </c>
      <c r="D206" s="2" t="s">
        <v>61</v>
      </c>
      <c r="E206" s="14"/>
      <c r="F206" s="14"/>
      <c r="G206" s="48" t="s">
        <v>643</v>
      </c>
      <c r="H206" s="3">
        <v>0.05</v>
      </c>
      <c r="I206" s="3">
        <v>0.0</v>
      </c>
      <c r="J206" s="15">
        <v>797.0</v>
      </c>
      <c r="K206" s="16">
        <v>110.0</v>
      </c>
      <c r="L206" s="16">
        <v>34.0</v>
      </c>
      <c r="M206" s="16">
        <v>24.0</v>
      </c>
      <c r="N206" s="16">
        <v>2.0</v>
      </c>
      <c r="O206" s="17">
        <f t="shared" si="12"/>
        <v>204</v>
      </c>
      <c r="P206" s="18">
        <v>20.8</v>
      </c>
      <c r="Q206" s="6">
        <f t="array" ref="Q206">XLOOKUP(K206/1000, '运费（邮政）'!$A$2:$A$21, '运费（邮政）'!$B$2:$B$21, "超出范围", 1)</f>
        <v>1060</v>
      </c>
      <c r="R206" s="18">
        <v>12.99</v>
      </c>
      <c r="S206" s="19">
        <f t="shared" si="2"/>
        <v>7.377201127</v>
      </c>
      <c r="T206" s="20">
        <f t="shared" si="3"/>
        <v>33.79</v>
      </c>
      <c r="U206" s="21">
        <f t="array" ref="U206">XLOOKUP(O206/1000, '运费（橙联）'!$A$2:$A$57, '运费（橙联）'!$B$2:$B$57, "超出范围", 1)</f>
        <v>1581</v>
      </c>
      <c r="V206" s="22">
        <f>(P206*'参数表'!$C$2*(1+'参数表'!$C$3))*$B$1+'参数表'!$C$4</f>
        <v>526.56256</v>
      </c>
      <c r="W206" s="3">
        <v>0.153</v>
      </c>
      <c r="X206" s="4">
        <v>0.0135</v>
      </c>
      <c r="Y206" s="23">
        <f t="shared" si="4"/>
        <v>260.380176</v>
      </c>
      <c r="Z206" s="24">
        <f t="shared" si="5"/>
        <v>0.08815688516</v>
      </c>
      <c r="AA206" s="25">
        <f t="shared" si="6"/>
        <v>0.3267003463</v>
      </c>
      <c r="AB206" s="23">
        <f t="shared" si="7"/>
        <v>618.110889</v>
      </c>
      <c r="AC206" s="24">
        <f t="shared" si="8"/>
        <v>0.1288219469</v>
      </c>
      <c r="AD206" s="25">
        <f t="shared" si="9"/>
        <v>0.7755469122</v>
      </c>
      <c r="AE206" s="26">
        <f>P206*(1-I206)*(1+'参数表'!$C$6)*(W206+X206+H206)*1.1+0.4*1.1</f>
        <v>5.888872</v>
      </c>
      <c r="AF206" s="26">
        <f t="shared" si="10"/>
        <v>8.9824405</v>
      </c>
    </row>
    <row r="207">
      <c r="A207" s="61" t="s">
        <v>644</v>
      </c>
      <c r="B207" s="44" t="s">
        <v>645</v>
      </c>
      <c r="C207" s="60" t="s">
        <v>646</v>
      </c>
      <c r="D207" s="2" t="s">
        <v>61</v>
      </c>
      <c r="E207" s="14"/>
      <c r="F207" s="14"/>
      <c r="G207" s="57" t="s">
        <v>647</v>
      </c>
      <c r="H207" s="3">
        <v>0.05</v>
      </c>
      <c r="I207" s="3">
        <v>0.0</v>
      </c>
      <c r="J207" s="15">
        <v>3300.0</v>
      </c>
      <c r="K207" s="16">
        <v>150.0</v>
      </c>
      <c r="L207" s="16">
        <v>34.0</v>
      </c>
      <c r="M207" s="16">
        <v>24.0</v>
      </c>
      <c r="N207" s="16">
        <v>2.0</v>
      </c>
      <c r="O207" s="17">
        <f t="shared" si="12"/>
        <v>204</v>
      </c>
      <c r="P207" s="18">
        <v>50.8</v>
      </c>
      <c r="Q207" s="6">
        <f t="array" ref="Q207">XLOOKUP(K207/1000, '运费（邮政）'!$A$2:$A$21, '运费（邮政）'!$B$2:$B$21, "超出范围", 1)</f>
        <v>1060</v>
      </c>
      <c r="R207" s="18">
        <v>18.99</v>
      </c>
      <c r="S207" s="19">
        <f t="shared" si="2"/>
        <v>10.44020113</v>
      </c>
      <c r="T207" s="20">
        <f t="shared" si="3"/>
        <v>69.79</v>
      </c>
      <c r="U207" s="21">
        <f t="array" ref="U207">XLOOKUP(O207/1000, '运费（橙联）'!$A$2:$A$57, '运费（橙联）'!$B$2:$B$57, "超出范围", 1)</f>
        <v>1581</v>
      </c>
      <c r="V207" s="22">
        <f>(P207*'参数表'!$C$2*(1+'参数表'!$C$3))*$B$1+'参数表'!$C$4</f>
        <v>961.50856</v>
      </c>
      <c r="W207" s="3">
        <v>0.153</v>
      </c>
      <c r="X207" s="4">
        <v>0.0135</v>
      </c>
      <c r="Y207" s="23">
        <f t="shared" si="4"/>
        <v>901.409276</v>
      </c>
      <c r="Z207" s="24">
        <f t="shared" si="5"/>
        <v>0.1249596978</v>
      </c>
      <c r="AA207" s="25">
        <f t="shared" si="6"/>
        <v>0.2731543261</v>
      </c>
      <c r="AB207" s="23">
        <f t="shared" si="7"/>
        <v>1473.290189</v>
      </c>
      <c r="AC207" s="24">
        <f t="shared" si="8"/>
        <v>0.1486643218</v>
      </c>
      <c r="AD207" s="25">
        <f t="shared" si="9"/>
        <v>0.4464515724</v>
      </c>
      <c r="AE207" s="26">
        <f>P207*(1-I207)*(1+'参数表'!$C$6)*(W207+X207+H207)*1.1+0.4*1.1</f>
        <v>13.747822</v>
      </c>
      <c r="AF207" s="26">
        <f t="shared" si="10"/>
        <v>18.2702905</v>
      </c>
    </row>
    <row r="208">
      <c r="A208" s="44" t="s">
        <v>648</v>
      </c>
      <c r="B208" s="44" t="s">
        <v>649</v>
      </c>
      <c r="C208" s="60" t="s">
        <v>650</v>
      </c>
      <c r="D208" s="2" t="s">
        <v>61</v>
      </c>
      <c r="E208" s="14"/>
      <c r="F208" s="14"/>
      <c r="G208" s="48" t="s">
        <v>651</v>
      </c>
      <c r="H208" s="3">
        <v>0.05</v>
      </c>
      <c r="I208" s="3">
        <v>0.0</v>
      </c>
      <c r="J208" s="15">
        <v>2860.0</v>
      </c>
      <c r="K208" s="16">
        <v>120.0</v>
      </c>
      <c r="L208" s="16">
        <v>34.0</v>
      </c>
      <c r="M208" s="16">
        <v>24.0</v>
      </c>
      <c r="N208" s="16">
        <v>2.0</v>
      </c>
      <c r="O208" s="17">
        <f t="shared" si="12"/>
        <v>204</v>
      </c>
      <c r="P208" s="18">
        <v>46.9</v>
      </c>
      <c r="Q208" s="6">
        <f t="array" ref="Q208">XLOOKUP(K208/1000, '运费（邮政）'!$A$2:$A$21, '运费（邮政）'!$B$2:$B$21, "超出范围", 1)</f>
        <v>1060</v>
      </c>
      <c r="R208" s="18">
        <v>15.99</v>
      </c>
      <c r="S208" s="19">
        <f t="shared" si="2"/>
        <v>10.04201113</v>
      </c>
      <c r="T208" s="20">
        <f t="shared" si="3"/>
        <v>62.89</v>
      </c>
      <c r="U208" s="21">
        <f t="array" ref="U208">XLOOKUP(O208/1000, '运费（橙联）'!$A$2:$A$57, '运费（橙联）'!$B$2:$B$57, "超出范围", 1)</f>
        <v>1581</v>
      </c>
      <c r="V208" s="22">
        <f>(P208*'参数表'!$C$2*(1+'参数表'!$C$3))*$B$1+'参数表'!$C$4</f>
        <v>904.96558</v>
      </c>
      <c r="W208" s="3">
        <v>0.153</v>
      </c>
      <c r="X208" s="4">
        <v>0.0135</v>
      </c>
      <c r="Y208" s="23">
        <f t="shared" si="4"/>
        <v>932.685493</v>
      </c>
      <c r="Z208" s="24">
        <f t="shared" si="5"/>
        <v>0.1400470724</v>
      </c>
      <c r="AA208" s="25">
        <f t="shared" si="6"/>
        <v>0.3261138087</v>
      </c>
      <c r="AB208" s="23">
        <f t="shared" si="7"/>
        <v>1236.561286</v>
      </c>
      <c r="AC208" s="24">
        <f t="shared" si="8"/>
        <v>0.1384668162</v>
      </c>
      <c r="AD208" s="25">
        <f t="shared" si="9"/>
        <v>0.432364086</v>
      </c>
      <c r="AE208" s="26">
        <f>P208*(1-I208)*(1+'参数表'!$C$6)*(W208+X208+H208)*1.1+0.4*1.1</f>
        <v>12.7261585</v>
      </c>
      <c r="AF208" s="26">
        <f t="shared" si="10"/>
        <v>16.534177</v>
      </c>
    </row>
    <row r="209">
      <c r="A209" s="44" t="s">
        <v>652</v>
      </c>
      <c r="B209" s="44" t="s">
        <v>653</v>
      </c>
      <c r="C209" s="60" t="s">
        <v>654</v>
      </c>
      <c r="D209" s="2" t="s">
        <v>61</v>
      </c>
      <c r="E209" s="14"/>
      <c r="F209" s="14"/>
      <c r="G209" s="48" t="s">
        <v>655</v>
      </c>
      <c r="H209" s="3">
        <v>0.05</v>
      </c>
      <c r="I209" s="3">
        <v>0.0</v>
      </c>
      <c r="J209" s="15">
        <v>3300.0</v>
      </c>
      <c r="K209" s="16">
        <v>180.0</v>
      </c>
      <c r="L209" s="16">
        <v>34.0</v>
      </c>
      <c r="M209" s="16">
        <v>24.0</v>
      </c>
      <c r="N209" s="16">
        <v>2.0</v>
      </c>
      <c r="O209" s="17">
        <f t="shared" si="12"/>
        <v>204</v>
      </c>
      <c r="P209" s="18">
        <v>50.8</v>
      </c>
      <c r="Q209" s="6">
        <f t="array" ref="Q209">XLOOKUP(K209/1000, '运费（邮政）'!$A$2:$A$21, '运费（邮政）'!$B$2:$B$21, "超出范围", 1)</f>
        <v>1060</v>
      </c>
      <c r="R209" s="18">
        <v>18.99</v>
      </c>
      <c r="S209" s="19">
        <f t="shared" si="2"/>
        <v>10.44020113</v>
      </c>
      <c r="T209" s="20">
        <f t="shared" si="3"/>
        <v>69.79</v>
      </c>
      <c r="U209" s="21">
        <f t="array" ref="U209">XLOOKUP(O209/1000, '运费（橙联）'!$A$2:$A$57, '运费（橙联）'!$B$2:$B$57, "超出范围", 1)</f>
        <v>1581</v>
      </c>
      <c r="V209" s="22">
        <f>(P209*'参数表'!$C$2*(1+'参数表'!$C$3))*$B$1+'参数表'!$C$4</f>
        <v>961.50856</v>
      </c>
      <c r="W209" s="3">
        <v>0.153</v>
      </c>
      <c r="X209" s="4">
        <v>0.0135</v>
      </c>
      <c r="Y209" s="23">
        <f t="shared" si="4"/>
        <v>901.409276</v>
      </c>
      <c r="Z209" s="24">
        <f t="shared" si="5"/>
        <v>0.1249596978</v>
      </c>
      <c r="AA209" s="25">
        <f t="shared" si="6"/>
        <v>0.2731543261</v>
      </c>
      <c r="AB209" s="23">
        <f t="shared" si="7"/>
        <v>1473.290189</v>
      </c>
      <c r="AC209" s="24">
        <f t="shared" si="8"/>
        <v>0.1486643218</v>
      </c>
      <c r="AD209" s="25">
        <f t="shared" si="9"/>
        <v>0.4464515724</v>
      </c>
      <c r="AE209" s="26">
        <f>P209*(1-I209)*(1+'参数表'!$C$6)*(W209+X209+H209)*1.1+0.4*1.1</f>
        <v>13.747822</v>
      </c>
      <c r="AF209" s="26">
        <f t="shared" si="10"/>
        <v>18.2702905</v>
      </c>
    </row>
    <row r="210">
      <c r="A210" s="44" t="s">
        <v>656</v>
      </c>
      <c r="B210" s="44" t="s">
        <v>657</v>
      </c>
      <c r="C210" s="60" t="s">
        <v>658</v>
      </c>
      <c r="D210" s="2" t="s">
        <v>61</v>
      </c>
      <c r="E210" s="14"/>
      <c r="F210" s="14"/>
      <c r="G210" s="48" t="s">
        <v>659</v>
      </c>
      <c r="H210" s="3">
        <v>0.05</v>
      </c>
      <c r="I210" s="3">
        <v>0.0</v>
      </c>
      <c r="J210" s="15">
        <v>3960.0</v>
      </c>
      <c r="K210" s="16">
        <v>180.0</v>
      </c>
      <c r="L210" s="16">
        <v>34.0</v>
      </c>
      <c r="M210" s="16">
        <v>24.0</v>
      </c>
      <c r="N210" s="16">
        <v>2.0</v>
      </c>
      <c r="O210" s="17">
        <f t="shared" si="12"/>
        <v>204</v>
      </c>
      <c r="P210" s="18">
        <v>56.8</v>
      </c>
      <c r="Q210" s="6">
        <f t="array" ref="Q210">XLOOKUP(K210/1000, '运费（邮政）'!$A$2:$A$21, '运费（邮政）'!$B$2:$B$21, "超出范围", 1)</f>
        <v>1060</v>
      </c>
      <c r="R210" s="18">
        <v>18.99</v>
      </c>
      <c r="S210" s="19">
        <f t="shared" si="2"/>
        <v>11.05280113</v>
      </c>
      <c r="T210" s="20">
        <f t="shared" si="3"/>
        <v>75.79</v>
      </c>
      <c r="U210" s="21">
        <f t="array" ref="U210">XLOOKUP(O210/1000, '运费（橙联）'!$A$2:$A$57, '运费（橙联）'!$B$2:$B$57, "超出范围", 1)</f>
        <v>1581</v>
      </c>
      <c r="V210" s="22">
        <f>(P210*'参数表'!$C$2*(1+'参数表'!$C$3))*$B$1+'参数表'!$C$4</f>
        <v>1048.49776</v>
      </c>
      <c r="W210" s="3">
        <v>0.153</v>
      </c>
      <c r="X210" s="4">
        <v>0.0135</v>
      </c>
      <c r="Y210" s="23">
        <f t="shared" si="4"/>
        <v>870.215096</v>
      </c>
      <c r="Z210" s="24">
        <f t="shared" si="5"/>
        <v>0.1078921712</v>
      </c>
      <c r="AA210" s="25">
        <f t="shared" si="6"/>
        <v>0.2197512869</v>
      </c>
      <c r="AB210" s="23">
        <f t="shared" si="7"/>
        <v>1355.106809</v>
      </c>
      <c r="AC210" s="24">
        <f t="shared" si="8"/>
        <v>0.1259137841</v>
      </c>
      <c r="AD210" s="25">
        <f t="shared" si="9"/>
        <v>0.3421986891</v>
      </c>
      <c r="AE210" s="26">
        <f>P210*(1-I210)*(1+'参数表'!$C$6)*(W210+X210+H210)*1.1+0.4*1.1</f>
        <v>15.319612</v>
      </c>
      <c r="AF210" s="26">
        <f t="shared" si="10"/>
        <v>19.8420805</v>
      </c>
    </row>
    <row r="211">
      <c r="A211" s="44" t="s">
        <v>660</v>
      </c>
      <c r="B211" s="44" t="s">
        <v>661</v>
      </c>
      <c r="C211" s="60" t="s">
        <v>662</v>
      </c>
      <c r="D211" s="2" t="s">
        <v>61</v>
      </c>
      <c r="E211" s="14"/>
      <c r="F211" s="14"/>
      <c r="G211" s="48" t="s">
        <v>663</v>
      </c>
      <c r="H211" s="3">
        <v>0.05</v>
      </c>
      <c r="I211" s="3">
        <v>0.0</v>
      </c>
      <c r="J211" s="15">
        <v>3190.0</v>
      </c>
      <c r="K211" s="16">
        <v>120.0</v>
      </c>
      <c r="L211" s="16">
        <v>34.0</v>
      </c>
      <c r="M211" s="16">
        <v>24.0</v>
      </c>
      <c r="N211" s="16">
        <v>2.0</v>
      </c>
      <c r="O211" s="17">
        <f t="shared" si="12"/>
        <v>204</v>
      </c>
      <c r="P211" s="18">
        <v>48.8</v>
      </c>
      <c r="Q211" s="6">
        <f t="array" ref="Q211">XLOOKUP(K211/1000, '运费（邮政）'!$A$2:$A$21, '运费（邮政）'!$B$2:$B$21, "超出范围", 1)</f>
        <v>1060</v>
      </c>
      <c r="R211" s="18">
        <v>18.99</v>
      </c>
      <c r="S211" s="19">
        <f t="shared" si="2"/>
        <v>10.23600113</v>
      </c>
      <c r="T211" s="20">
        <f t="shared" si="3"/>
        <v>67.79</v>
      </c>
      <c r="U211" s="21">
        <f t="array" ref="U211">XLOOKUP(O211/1000, '运费（橙联）'!$A$2:$A$57, '运费（橙联）'!$B$2:$B$57, "超出范围", 1)</f>
        <v>1581</v>
      </c>
      <c r="V211" s="22">
        <f>(P211*'参数表'!$C$2*(1+'参数表'!$C$3))*$B$1+'参数表'!$C$4</f>
        <v>932.51216</v>
      </c>
      <c r="W211" s="3">
        <v>0.153</v>
      </c>
      <c r="X211" s="4">
        <v>0.0135</v>
      </c>
      <c r="Y211" s="23">
        <f t="shared" si="4"/>
        <v>801.807336</v>
      </c>
      <c r="Z211" s="24">
        <f t="shared" si="5"/>
        <v>0.1157075929</v>
      </c>
      <c r="AA211" s="25">
        <f t="shared" si="6"/>
        <v>0.2513502621</v>
      </c>
      <c r="AB211" s="23">
        <f t="shared" si="7"/>
        <v>1402.684649</v>
      </c>
      <c r="AC211" s="24">
        <f t="shared" si="8"/>
        <v>0.1457156057</v>
      </c>
      <c r="AD211" s="25">
        <f t="shared" si="9"/>
        <v>0.4397130561</v>
      </c>
      <c r="AE211" s="26">
        <f>P211*(1-I211)*(1+'参数表'!$C$6)*(W211+X211+H211)*1.1+0.4*1.1</f>
        <v>13.223892</v>
      </c>
      <c r="AF211" s="26">
        <f t="shared" si="10"/>
        <v>17.7463605</v>
      </c>
    </row>
    <row r="212">
      <c r="A212" s="44" t="s">
        <v>664</v>
      </c>
      <c r="B212" s="44" t="s">
        <v>665</v>
      </c>
      <c r="C212" s="60" t="s">
        <v>666</v>
      </c>
      <c r="D212" s="2" t="s">
        <v>61</v>
      </c>
      <c r="E212" s="14"/>
      <c r="F212" s="14"/>
      <c r="G212" s="62" t="s">
        <v>667</v>
      </c>
      <c r="H212" s="3">
        <v>0.05</v>
      </c>
      <c r="I212" s="3">
        <v>0.0</v>
      </c>
      <c r="J212" s="15">
        <v>3850.0</v>
      </c>
      <c r="K212" s="16">
        <v>260.0</v>
      </c>
      <c r="L212" s="16">
        <v>34.0</v>
      </c>
      <c r="M212" s="16">
        <v>24.0</v>
      </c>
      <c r="N212" s="16">
        <v>2.0</v>
      </c>
      <c r="O212" s="17">
        <f t="shared" si="12"/>
        <v>260</v>
      </c>
      <c r="P212" s="18">
        <v>58.8</v>
      </c>
      <c r="Q212" s="6">
        <f t="array" ref="Q212">XLOOKUP(K212/1000, '运费（邮政）'!$A$2:$A$21, '运费（邮政）'!$B$2:$B$21, "超出范围", 1)</f>
        <v>1240</v>
      </c>
      <c r="R212" s="18">
        <v>18.99</v>
      </c>
      <c r="S212" s="19">
        <f t="shared" si="2"/>
        <v>9.989395493</v>
      </c>
      <c r="T212" s="20">
        <f t="shared" si="3"/>
        <v>77.79</v>
      </c>
      <c r="U212" s="21">
        <f t="array" ref="U212">XLOOKUP(O212/1000, '运费（橙联）'!$A$2:$A$57, '运费（橙联）'!$B$2:$B$57, "超出范围", 1)</f>
        <v>1581</v>
      </c>
      <c r="V212" s="22">
        <f>(P212*'参数表'!$C$2*(1+'参数表'!$C$3))*$B$1+'参数表'!$C$4</f>
        <v>1077.49416</v>
      </c>
      <c r="W212" s="3">
        <v>0.153</v>
      </c>
      <c r="X212" s="4">
        <v>0.0135</v>
      </c>
      <c r="Y212" s="23">
        <f t="shared" si="4"/>
        <v>1009.817036</v>
      </c>
      <c r="Z212" s="24">
        <f t="shared" si="5"/>
        <v>0.1209419656</v>
      </c>
      <c r="AA212" s="25">
        <f t="shared" si="6"/>
        <v>0.2622901392</v>
      </c>
      <c r="AB212" s="23">
        <f t="shared" si="7"/>
        <v>1645.712349</v>
      </c>
      <c r="AC212" s="24">
        <f t="shared" si="8"/>
        <v>0.1489847485</v>
      </c>
      <c r="AD212" s="25">
        <f t="shared" si="9"/>
        <v>0.427457753</v>
      </c>
      <c r="AE212" s="26">
        <f>P212*(1-I212)*(1+'参数表'!$C$6)*(W212+X212+H212)*1.1+0.4*1.1</f>
        <v>15.843542</v>
      </c>
      <c r="AF212" s="26">
        <f t="shared" si="10"/>
        <v>20.3660105</v>
      </c>
    </row>
    <row r="213">
      <c r="A213" s="44" t="s">
        <v>668</v>
      </c>
      <c r="B213" s="44" t="s">
        <v>669</v>
      </c>
      <c r="C213" s="60" t="s">
        <v>670</v>
      </c>
      <c r="D213" s="2" t="s">
        <v>61</v>
      </c>
      <c r="E213" s="14"/>
      <c r="F213" s="14"/>
      <c r="G213" s="48" t="s">
        <v>671</v>
      </c>
      <c r="H213" s="3">
        <v>0.05</v>
      </c>
      <c r="I213" s="3">
        <v>0.0</v>
      </c>
      <c r="J213" s="15">
        <v>3750.0</v>
      </c>
      <c r="K213" s="16">
        <v>450.0</v>
      </c>
      <c r="L213" s="16">
        <v>34.0</v>
      </c>
      <c r="M213" s="16">
        <v>24.0</v>
      </c>
      <c r="N213" s="16">
        <v>2.0</v>
      </c>
      <c r="O213" s="17">
        <f t="shared" si="12"/>
        <v>450</v>
      </c>
      <c r="P213" s="18">
        <v>59.8</v>
      </c>
      <c r="Q213" s="6">
        <f t="array" ref="Q213">XLOOKUP(K213/1000, '运费（邮政）'!$A$2:$A$21, '运费（邮政）'!$B$2:$B$21, "超出范围", 1)</f>
        <v>1600</v>
      </c>
      <c r="R213" s="18">
        <v>18.99</v>
      </c>
      <c r="S213" s="19">
        <f t="shared" si="2"/>
        <v>10.92952366</v>
      </c>
      <c r="T213" s="20">
        <f t="shared" si="3"/>
        <v>78.79</v>
      </c>
      <c r="U213" s="21">
        <f t="array" ref="U213">XLOOKUP(O213/1000, '运费（橙联）'!$A$2:$A$57, '运费（橙联）'!$B$2:$B$57, "超出范围", 1)</f>
        <v>2060</v>
      </c>
      <c r="V213" s="22">
        <f>(P213*'参数表'!$C$2*(1+'参数表'!$C$3))*$B$1+'参数表'!$C$4</f>
        <v>1091.99236</v>
      </c>
      <c r="W213" s="3">
        <v>0.153</v>
      </c>
      <c r="X213" s="4">
        <v>0.0135</v>
      </c>
      <c r="Y213" s="23">
        <f t="shared" si="4"/>
        <v>854.618006</v>
      </c>
      <c r="Z213" s="24">
        <f t="shared" si="5"/>
        <v>0.1006427535</v>
      </c>
      <c r="AA213" s="25">
        <f t="shared" si="6"/>
        <v>0.2278981349</v>
      </c>
      <c r="AB213" s="23">
        <f t="shared" si="7"/>
        <v>1357.015119</v>
      </c>
      <c r="AC213" s="24">
        <f t="shared" si="8"/>
        <v>0.1212900685</v>
      </c>
      <c r="AD213" s="25">
        <f t="shared" si="9"/>
        <v>0.3618706984</v>
      </c>
      <c r="AE213" s="26">
        <f>P213*(1-I213)*(1+'参数表'!$C$6)*(W213+X213+H213)*1.1+0.4*1.1</f>
        <v>16.105507</v>
      </c>
      <c r="AF213" s="26">
        <f t="shared" si="10"/>
        <v>20.6279755</v>
      </c>
    </row>
    <row r="214">
      <c r="A214" s="44" t="s">
        <v>672</v>
      </c>
      <c r="B214" s="44" t="s">
        <v>673</v>
      </c>
      <c r="C214" s="60" t="s">
        <v>674</v>
      </c>
      <c r="D214" s="2" t="s">
        <v>61</v>
      </c>
      <c r="E214" s="14"/>
      <c r="F214" s="14"/>
      <c r="G214" s="13" t="s">
        <v>675</v>
      </c>
      <c r="H214" s="3">
        <v>0.05</v>
      </c>
      <c r="I214" s="3">
        <v>0.0</v>
      </c>
      <c r="J214" s="15">
        <v>3300.0</v>
      </c>
      <c r="K214" s="16">
        <v>120.0</v>
      </c>
      <c r="L214" s="16">
        <v>34.0</v>
      </c>
      <c r="M214" s="16">
        <v>24.0</v>
      </c>
      <c r="N214" s="16">
        <v>2.0</v>
      </c>
      <c r="O214" s="17">
        <f t="shared" si="12"/>
        <v>204</v>
      </c>
      <c r="P214" s="18">
        <v>50.8</v>
      </c>
      <c r="Q214" s="6">
        <f t="array" ref="Q214">XLOOKUP(K214/1000, '运费（邮政）'!$A$2:$A$21, '运费（邮政）'!$B$2:$B$21, "超出范围", 1)</f>
        <v>1060</v>
      </c>
      <c r="R214" s="18">
        <v>18.99</v>
      </c>
      <c r="S214" s="19">
        <f t="shared" si="2"/>
        <v>10.44020113</v>
      </c>
      <c r="T214" s="20">
        <f t="shared" si="3"/>
        <v>69.79</v>
      </c>
      <c r="U214" s="21">
        <f t="array" ref="U214">XLOOKUP(O214/1000, '运费（橙联）'!$A$2:$A$57, '运费（橙联）'!$B$2:$B$57, "超出范围", 1)</f>
        <v>1581</v>
      </c>
      <c r="V214" s="22">
        <f>(P214*'参数表'!$C$2*(1+'参数表'!$C$3))*$B$1+'参数表'!$C$4</f>
        <v>961.50856</v>
      </c>
      <c r="W214" s="3">
        <v>0.153</v>
      </c>
      <c r="X214" s="4">
        <v>0.0135</v>
      </c>
      <c r="Y214" s="23">
        <f t="shared" si="4"/>
        <v>901.409276</v>
      </c>
      <c r="Z214" s="24">
        <f t="shared" si="5"/>
        <v>0.1249596978</v>
      </c>
      <c r="AA214" s="25">
        <f t="shared" si="6"/>
        <v>0.2731543261</v>
      </c>
      <c r="AB214" s="23">
        <f t="shared" si="7"/>
        <v>1473.290189</v>
      </c>
      <c r="AC214" s="24">
        <f t="shared" si="8"/>
        <v>0.1486643218</v>
      </c>
      <c r="AD214" s="25">
        <f t="shared" si="9"/>
        <v>0.4464515724</v>
      </c>
      <c r="AE214" s="26">
        <f>P214*(1-I214)*(1+'参数表'!$C$6)*(W214+X214+H214)*1.1+0.4*1.1</f>
        <v>13.747822</v>
      </c>
      <c r="AF214" s="26">
        <f t="shared" si="10"/>
        <v>18.2702905</v>
      </c>
    </row>
    <row r="215">
      <c r="A215" s="44" t="s">
        <v>676</v>
      </c>
      <c r="B215" s="44" t="s">
        <v>677</v>
      </c>
      <c r="C215" s="60" t="s">
        <v>678</v>
      </c>
      <c r="D215" s="2" t="s">
        <v>61</v>
      </c>
      <c r="E215" s="14"/>
      <c r="F215" s="14"/>
      <c r="G215" s="13" t="s">
        <v>679</v>
      </c>
      <c r="H215" s="3">
        <v>0.05</v>
      </c>
      <c r="I215" s="3">
        <v>0.0</v>
      </c>
      <c r="J215" s="15">
        <v>2882.0</v>
      </c>
      <c r="K215" s="16">
        <v>210.0</v>
      </c>
      <c r="L215" s="16">
        <v>34.0</v>
      </c>
      <c r="M215" s="16">
        <v>24.0</v>
      </c>
      <c r="N215" s="16">
        <v>2.0</v>
      </c>
      <c r="O215" s="17">
        <f t="shared" si="12"/>
        <v>210</v>
      </c>
      <c r="P215" s="18">
        <v>46.9</v>
      </c>
      <c r="Q215" s="6">
        <f t="array" ref="Q215">XLOOKUP(K215/1000, '运费（邮政）'!$A$2:$A$21, '运费（邮政）'!$B$2:$B$21, "超出范围", 1)</f>
        <v>1240</v>
      </c>
      <c r="R215" s="18">
        <v>15.99</v>
      </c>
      <c r="S215" s="19">
        <f t="shared" si="2"/>
        <v>8.774405493</v>
      </c>
      <c r="T215" s="20">
        <f t="shared" si="3"/>
        <v>62.89</v>
      </c>
      <c r="U215" s="21">
        <f t="array" ref="U215">XLOOKUP(O215/1000, '运费（橙联）'!$A$2:$A$57, '运费（橙联）'!$B$2:$B$57, "超出范围", 1)</f>
        <v>1581</v>
      </c>
      <c r="V215" s="22">
        <f>(P215*'参数表'!$C$2*(1+'参数表'!$C$3))*$B$1+'参数表'!$C$4</f>
        <v>904.96558</v>
      </c>
      <c r="W215" s="3">
        <v>0.153</v>
      </c>
      <c r="X215" s="4">
        <v>0.0135</v>
      </c>
      <c r="Y215" s="23">
        <f t="shared" si="4"/>
        <v>730.685493</v>
      </c>
      <c r="Z215" s="24">
        <f t="shared" si="5"/>
        <v>0.1097158313</v>
      </c>
      <c r="AA215" s="25">
        <f t="shared" si="6"/>
        <v>0.2535341752</v>
      </c>
      <c r="AB215" s="23">
        <f t="shared" si="7"/>
        <v>1214.561286</v>
      </c>
      <c r="AC215" s="24">
        <f t="shared" si="8"/>
        <v>0.1360033152</v>
      </c>
      <c r="AD215" s="25">
        <f t="shared" si="9"/>
        <v>0.421430009</v>
      </c>
      <c r="AE215" s="26">
        <f>P215*(1-I215)*(1+'参数表'!$C$6)*(W215+X215+H215)*1.1+0.4*1.1</f>
        <v>12.7261585</v>
      </c>
      <c r="AF215" s="26">
        <f t="shared" si="10"/>
        <v>16.534177</v>
      </c>
    </row>
    <row r="216">
      <c r="A216" s="44" t="s">
        <v>680</v>
      </c>
      <c r="B216" s="44" t="s">
        <v>681</v>
      </c>
      <c r="C216" s="60" t="s">
        <v>682</v>
      </c>
      <c r="D216" s="2" t="s">
        <v>61</v>
      </c>
      <c r="E216" s="14"/>
      <c r="F216" s="14"/>
      <c r="G216" s="13" t="s">
        <v>683</v>
      </c>
      <c r="H216" s="3">
        <v>0.05</v>
      </c>
      <c r="I216" s="3">
        <v>0.0</v>
      </c>
      <c r="J216" s="15">
        <v>1650.0</v>
      </c>
      <c r="K216" s="16">
        <v>120.0</v>
      </c>
      <c r="L216" s="16">
        <v>34.0</v>
      </c>
      <c r="M216" s="16">
        <v>24.0</v>
      </c>
      <c r="N216" s="16">
        <v>2.0</v>
      </c>
      <c r="O216" s="17">
        <f t="shared" si="12"/>
        <v>204</v>
      </c>
      <c r="P216" s="18">
        <v>31.8</v>
      </c>
      <c r="Q216" s="6">
        <f t="array" ref="Q216">XLOOKUP(K216/1000, '运费（邮政）'!$A$2:$A$21, '运费（邮政）'!$B$2:$B$21, "超出范围", 1)</f>
        <v>1060</v>
      </c>
      <c r="R216" s="18">
        <v>12.99</v>
      </c>
      <c r="S216" s="19">
        <f t="shared" si="2"/>
        <v>8.500301127</v>
      </c>
      <c r="T216" s="20">
        <f t="shared" si="3"/>
        <v>44.79</v>
      </c>
      <c r="U216" s="21">
        <f t="array" ref="U216">XLOOKUP(O216/1000, '运费（橙联）'!$A$2:$A$57, '运费（橙联）'!$B$2:$B$57, "超出范围", 1)</f>
        <v>1581</v>
      </c>
      <c r="V216" s="22">
        <f>(P216*'参数表'!$C$2*(1+'参数表'!$C$3))*$B$1+'参数表'!$C$4</f>
        <v>686.04276</v>
      </c>
      <c r="W216" s="3">
        <v>0.153</v>
      </c>
      <c r="X216" s="4">
        <v>0.0135</v>
      </c>
      <c r="Y216" s="23">
        <f t="shared" si="4"/>
        <v>560.190846</v>
      </c>
      <c r="Z216" s="24">
        <f t="shared" si="5"/>
        <v>0.1240567911</v>
      </c>
      <c r="AA216" s="25">
        <f t="shared" si="6"/>
        <v>0.3395096036</v>
      </c>
      <c r="AB216" s="23">
        <f t="shared" si="7"/>
        <v>758.441359</v>
      </c>
      <c r="AC216" s="24">
        <f t="shared" si="8"/>
        <v>0.1192484111</v>
      </c>
      <c r="AD216" s="25">
        <f t="shared" si="9"/>
        <v>0.4596614297</v>
      </c>
      <c r="AE216" s="26">
        <f>P216*(1-I216)*(1+'参数表'!$C$6)*(W216+X216+H216)*1.1+0.4*1.1</f>
        <v>8.770487</v>
      </c>
      <c r="AF216" s="26">
        <f t="shared" si="10"/>
        <v>11.8640555</v>
      </c>
    </row>
    <row r="217">
      <c r="A217" s="44" t="s">
        <v>684</v>
      </c>
      <c r="B217" s="44" t="s">
        <v>685</v>
      </c>
      <c r="C217" s="60" t="s">
        <v>686</v>
      </c>
      <c r="D217" s="2" t="s">
        <v>61</v>
      </c>
      <c r="E217" s="14"/>
      <c r="F217" s="14"/>
      <c r="G217" s="13" t="s">
        <v>687</v>
      </c>
      <c r="H217" s="3">
        <v>0.05</v>
      </c>
      <c r="I217" s="3">
        <v>0.0</v>
      </c>
      <c r="J217" s="15">
        <v>2750.0</v>
      </c>
      <c r="K217" s="16">
        <v>180.0</v>
      </c>
      <c r="L217" s="16">
        <v>34.0</v>
      </c>
      <c r="M217" s="16">
        <v>24.0</v>
      </c>
      <c r="N217" s="16">
        <v>2.0</v>
      </c>
      <c r="O217" s="17">
        <f t="shared" si="12"/>
        <v>204</v>
      </c>
      <c r="P217" s="18">
        <v>45.8</v>
      </c>
      <c r="Q217" s="6">
        <f t="array" ref="Q217">XLOOKUP(K217/1000, '运费（邮政）'!$A$2:$A$21, '运费（邮政）'!$B$2:$B$21, "超出范围", 1)</f>
        <v>1060</v>
      </c>
      <c r="R217" s="18">
        <v>15.99</v>
      </c>
      <c r="S217" s="19">
        <f t="shared" si="2"/>
        <v>9.929701127</v>
      </c>
      <c r="T217" s="20">
        <f t="shared" si="3"/>
        <v>61.79</v>
      </c>
      <c r="U217" s="21">
        <f t="array" ref="U217">XLOOKUP(O217/1000, '运费（橙联）'!$A$2:$A$57, '运费（橙联）'!$B$2:$B$57, "超出范围", 1)</f>
        <v>1581</v>
      </c>
      <c r="V217" s="22">
        <f>(P217*'参数表'!$C$2*(1+'参数表'!$C$3))*$B$1+'参数表'!$C$4</f>
        <v>889.01756</v>
      </c>
      <c r="W217" s="3">
        <v>0.153</v>
      </c>
      <c r="X217" s="4">
        <v>0.0135</v>
      </c>
      <c r="Y217" s="23">
        <f t="shared" si="4"/>
        <v>927.404426</v>
      </c>
      <c r="Z217" s="24">
        <f t="shared" si="5"/>
        <v>0.1425986263</v>
      </c>
      <c r="AA217" s="25">
        <f t="shared" si="6"/>
        <v>0.3372379731</v>
      </c>
      <c r="AB217" s="23">
        <f t="shared" si="7"/>
        <v>1247.228239</v>
      </c>
      <c r="AC217" s="24">
        <f t="shared" si="8"/>
        <v>0.1421475556</v>
      </c>
      <c r="AD217" s="25">
        <f t="shared" si="9"/>
        <v>0.4535375415</v>
      </c>
      <c r="AE217" s="26">
        <f>P217*(1-I217)*(1+'参数表'!$C$6)*(W217+X217+H217)*1.1+0.4*1.1</f>
        <v>12.437997</v>
      </c>
      <c r="AF217" s="26">
        <f t="shared" si="10"/>
        <v>16.2460155</v>
      </c>
    </row>
    <row r="218">
      <c r="A218" s="44" t="s">
        <v>688</v>
      </c>
      <c r="B218" s="44" t="s">
        <v>689</v>
      </c>
      <c r="C218" s="60" t="s">
        <v>690</v>
      </c>
      <c r="D218" s="2" t="s">
        <v>61</v>
      </c>
      <c r="E218" s="14"/>
      <c r="F218" s="14"/>
      <c r="G218" s="13" t="s">
        <v>691</v>
      </c>
      <c r="H218" s="3">
        <v>0.05</v>
      </c>
      <c r="I218" s="3">
        <v>0.0</v>
      </c>
      <c r="J218" s="15">
        <v>1834.0</v>
      </c>
      <c r="K218" s="16">
        <v>180.0</v>
      </c>
      <c r="L218" s="16">
        <v>34.0</v>
      </c>
      <c r="M218" s="16">
        <v>24.0</v>
      </c>
      <c r="N218" s="16">
        <v>2.0</v>
      </c>
      <c r="O218" s="17">
        <f t="shared" si="12"/>
        <v>204</v>
      </c>
      <c r="P218" s="18">
        <v>33.8</v>
      </c>
      <c r="Q218" s="6">
        <f t="array" ref="Q218">XLOOKUP(K218/1000, '运费（邮政）'!$A$2:$A$21, '运费（邮政）'!$B$2:$B$21, "超出范围", 1)</f>
        <v>1060</v>
      </c>
      <c r="R218" s="18">
        <v>15.99</v>
      </c>
      <c r="S218" s="19">
        <f t="shared" si="2"/>
        <v>8.704501127</v>
      </c>
      <c r="T218" s="20">
        <f t="shared" si="3"/>
        <v>49.79</v>
      </c>
      <c r="U218" s="21">
        <f t="array" ref="U218">XLOOKUP(O218/1000, '运费（橙联）'!$A$2:$A$57, '运费（橙联）'!$B$2:$B$57, "超出范围", 1)</f>
        <v>1581</v>
      </c>
      <c r="V218" s="22">
        <f>(P218*'参数表'!$C$2*(1+'参数表'!$C$3))*$B$1+'参数表'!$C$4</f>
        <v>715.03916</v>
      </c>
      <c r="W218" s="3">
        <v>0.153</v>
      </c>
      <c r="X218" s="4">
        <v>0.0135</v>
      </c>
      <c r="Y218" s="23">
        <f t="shared" si="4"/>
        <v>585.792786</v>
      </c>
      <c r="Z218" s="24">
        <f t="shared" si="5"/>
        <v>0.1220503346</v>
      </c>
      <c r="AA218" s="25">
        <f t="shared" si="6"/>
        <v>0.3194071897</v>
      </c>
      <c r="AB218" s="23">
        <f t="shared" si="7"/>
        <v>1079.594999</v>
      </c>
      <c r="AC218" s="24">
        <f t="shared" si="8"/>
        <v>0.1526969609</v>
      </c>
      <c r="AD218" s="25">
        <f t="shared" si="9"/>
        <v>0.5886559427</v>
      </c>
      <c r="AE218" s="26">
        <f>P218*(1-I218)*(1+'参数表'!$C$6)*(W218+X218+H218)*1.1+0.4*1.1</f>
        <v>9.294417</v>
      </c>
      <c r="AF218" s="26">
        <f t="shared" si="10"/>
        <v>13.1024355</v>
      </c>
    </row>
    <row r="219">
      <c r="A219" s="54" t="s">
        <v>692</v>
      </c>
      <c r="B219" s="44" t="s">
        <v>693</v>
      </c>
      <c r="C219" s="60" t="s">
        <v>694</v>
      </c>
      <c r="D219" s="2" t="s">
        <v>61</v>
      </c>
      <c r="E219" s="14"/>
      <c r="F219" s="14"/>
      <c r="G219" s="13"/>
      <c r="H219" s="3">
        <v>0.05</v>
      </c>
      <c r="I219" s="3">
        <v>0.0</v>
      </c>
      <c r="J219" s="15">
        <v>18000.0</v>
      </c>
      <c r="K219" s="16">
        <v>910.0</v>
      </c>
      <c r="L219" s="16">
        <v>34.0</v>
      </c>
      <c r="M219" s="16">
        <v>24.0</v>
      </c>
      <c r="N219" s="16">
        <v>2.0</v>
      </c>
      <c r="O219" s="17">
        <f t="shared" si="12"/>
        <v>910</v>
      </c>
      <c r="P219" s="18">
        <v>238.0</v>
      </c>
      <c r="Q219" s="6">
        <f t="array" ref="Q219">XLOOKUP(K219/1000, '运费（邮政）'!$A$2:$A$21, '运费（邮政）'!$B$2:$B$21, "超出范围", 1)</f>
        <v>2500</v>
      </c>
      <c r="R219" s="18">
        <v>64.99</v>
      </c>
      <c r="S219" s="19">
        <f t="shared" si="2"/>
        <v>29.54627887</v>
      </c>
      <c r="T219" s="20">
        <f t="shared" si="3"/>
        <v>302.99</v>
      </c>
      <c r="U219" s="21">
        <f t="array" ref="U219">XLOOKUP(O219/1000, '运费（橙联）'!$A$2:$A$57, '运费（橙联）'!$B$2:$B$57, "超出范围", 1)</f>
        <v>3020</v>
      </c>
      <c r="V219" s="22">
        <f>(P219*'参数表'!$C$2*(1+'参数表'!$C$3))*$B$1+'参数表'!$C$4</f>
        <v>3675.5716</v>
      </c>
      <c r="W219" s="3">
        <v>0.127</v>
      </c>
      <c r="X219" s="4">
        <v>0.0135</v>
      </c>
      <c r="Y219" s="23">
        <f t="shared" si="4"/>
        <v>5443.37302</v>
      </c>
      <c r="Z219" s="24">
        <f t="shared" si="5"/>
        <v>0.1610656001</v>
      </c>
      <c r="AA219" s="25">
        <f t="shared" si="6"/>
        <v>0.3024096122</v>
      </c>
      <c r="AB219" s="23">
        <f t="shared" si="7"/>
        <v>8542.532481</v>
      </c>
      <c r="AC219" s="24">
        <f t="shared" si="8"/>
        <v>0.1985500493</v>
      </c>
      <c r="AD219" s="25">
        <f t="shared" si="9"/>
        <v>0.4745851378</v>
      </c>
      <c r="AE219" s="26">
        <f>P219*(1-I219)*(1+'参数表'!$C$6)*(W219+X219+H219)*1.1+0.4*1.1</f>
        <v>55.30019</v>
      </c>
      <c r="AF219" s="26">
        <f t="shared" si="10"/>
        <v>68.9188445</v>
      </c>
    </row>
    <row r="220">
      <c r="A220" s="44" t="s">
        <v>695</v>
      </c>
      <c r="C220" s="60" t="s">
        <v>696</v>
      </c>
      <c r="D220" s="2" t="s">
        <v>61</v>
      </c>
      <c r="E220" s="14"/>
      <c r="F220" s="14"/>
      <c r="G220" s="13" t="s">
        <v>697</v>
      </c>
      <c r="H220" s="3">
        <v>0.05</v>
      </c>
      <c r="I220" s="3">
        <v>0.0</v>
      </c>
      <c r="J220" s="15">
        <v>3500.0</v>
      </c>
      <c r="K220" s="16">
        <v>410.0</v>
      </c>
      <c r="L220" s="16">
        <v>12.0</v>
      </c>
      <c r="M220" s="16">
        <v>8.0</v>
      </c>
      <c r="N220" s="16">
        <v>18.0</v>
      </c>
      <c r="O220" s="17">
        <f t="shared" si="12"/>
        <v>410</v>
      </c>
      <c r="P220" s="18">
        <v>56.8</v>
      </c>
      <c r="Q220" s="6">
        <f t="array" ref="Q220">XLOOKUP(K220/1000, '运费（邮政）'!$A$2:$A$21, '运费（邮政）'!$B$2:$B$21, "超出范围", 1)</f>
        <v>1600</v>
      </c>
      <c r="R220" s="18">
        <v>18.99</v>
      </c>
      <c r="S220" s="19">
        <f t="shared" si="2"/>
        <v>10.62322366</v>
      </c>
      <c r="T220" s="20">
        <f t="shared" si="3"/>
        <v>75.79</v>
      </c>
      <c r="U220" s="21">
        <f t="array" ref="U220">XLOOKUP(O220/1000, '运费（橙联）'!$A$2:$A$57, '运费（橙联）'!$B$2:$B$57, "超出范围", 1)</f>
        <v>2060</v>
      </c>
      <c r="V220" s="22">
        <f>(P220*'参数表'!$C$2*(1+'参数表'!$C$3))*$B$1+'参数表'!$C$4</f>
        <v>1048.49776</v>
      </c>
      <c r="W220" s="3">
        <v>0.127</v>
      </c>
      <c r="X220" s="4">
        <v>0.0135</v>
      </c>
      <c r="Y220" s="23">
        <f t="shared" si="4"/>
        <v>1043.958872</v>
      </c>
      <c r="Z220" s="24">
        <f t="shared" si="5"/>
        <v>0.1294335043</v>
      </c>
      <c r="AA220" s="25">
        <f t="shared" si="6"/>
        <v>0.2982739634</v>
      </c>
      <c r="AB220" s="23">
        <f t="shared" si="7"/>
        <v>1666.972773</v>
      </c>
      <c r="AC220" s="24">
        <f t="shared" si="8"/>
        <v>0.1548917388</v>
      </c>
      <c r="AD220" s="25">
        <f t="shared" si="9"/>
        <v>0.4762779351</v>
      </c>
      <c r="AE220" s="26">
        <f>P220*(1-I220)*(1+'参数表'!$C$6)*(W220+X220+H220)*1.1+0.4*1.1</f>
        <v>13.532684</v>
      </c>
      <c r="AF220" s="26">
        <f t="shared" si="10"/>
        <v>17.5120385</v>
      </c>
    </row>
    <row r="221">
      <c r="A221" s="44" t="s">
        <v>698</v>
      </c>
      <c r="B221" s="44" t="s">
        <v>699</v>
      </c>
      <c r="C221" s="60" t="s">
        <v>700</v>
      </c>
      <c r="D221" s="2" t="s">
        <v>61</v>
      </c>
      <c r="E221" s="14"/>
      <c r="F221" s="14"/>
      <c r="G221" s="13" t="s">
        <v>701</v>
      </c>
      <c r="H221" s="3">
        <v>0.05</v>
      </c>
      <c r="I221" s="3">
        <v>0.0</v>
      </c>
      <c r="J221" s="15">
        <v>3880.0</v>
      </c>
      <c r="K221" s="16">
        <v>510.0</v>
      </c>
      <c r="L221" s="16">
        <v>34.0</v>
      </c>
      <c r="M221" s="16">
        <v>24.0</v>
      </c>
      <c r="N221" s="16">
        <v>2.0</v>
      </c>
      <c r="O221" s="17">
        <f t="shared" si="12"/>
        <v>510</v>
      </c>
      <c r="P221" s="18">
        <v>62.8</v>
      </c>
      <c r="Q221" s="6">
        <f t="array" ref="Q221">XLOOKUP(K221/1000, '运费（邮政）'!$A$2:$A$21, '运费（邮政）'!$B$2:$B$21, "超出范围", 1)</f>
        <v>1780</v>
      </c>
      <c r="R221" s="18">
        <v>18.99</v>
      </c>
      <c r="S221" s="19">
        <f t="shared" si="2"/>
        <v>11.1090631</v>
      </c>
      <c r="T221" s="20">
        <f t="shared" si="3"/>
        <v>81.79</v>
      </c>
      <c r="U221" s="21">
        <f t="array" ref="U221">XLOOKUP(O221/1000, '运费（橙联）'!$A$2:$A$57, '运费（橙联）'!$B$2:$B$57, "超出范围", 1)</f>
        <v>2222</v>
      </c>
      <c r="V221" s="22">
        <f>(P221*'参数表'!$C$2*(1+'参数表'!$C$3))*$B$1+'参数表'!$C$4</f>
        <v>1135.48696</v>
      </c>
      <c r="W221" s="3">
        <v>0.127</v>
      </c>
      <c r="X221" s="4">
        <v>0.0135</v>
      </c>
      <c r="Y221" s="23">
        <f t="shared" si="4"/>
        <v>1139.568612</v>
      </c>
      <c r="Z221" s="24">
        <f t="shared" si="5"/>
        <v>0.1277887113</v>
      </c>
      <c r="AA221" s="25">
        <f t="shared" si="6"/>
        <v>0.2937032505</v>
      </c>
      <c r="AB221" s="23">
        <f t="shared" si="7"/>
        <v>1693.593313</v>
      </c>
      <c r="AC221" s="24">
        <f t="shared" si="8"/>
        <v>0.1458211697</v>
      </c>
      <c r="AD221" s="25">
        <f t="shared" si="9"/>
        <v>0.4364931219</v>
      </c>
      <c r="AE221" s="26">
        <f>P221*(1-I221)*(1+'参数表'!$C$6)*(W221+X221+H221)*1.1+0.4*1.1</f>
        <v>14.915714</v>
      </c>
      <c r="AF221" s="26">
        <f t="shared" si="10"/>
        <v>18.8950685</v>
      </c>
    </row>
    <row r="222">
      <c r="A222" s="44" t="s">
        <v>702</v>
      </c>
      <c r="B222" s="44" t="s">
        <v>699</v>
      </c>
      <c r="C222" s="60" t="s">
        <v>703</v>
      </c>
      <c r="D222" s="2" t="s">
        <v>61</v>
      </c>
      <c r="E222" s="14"/>
      <c r="F222" s="14"/>
      <c r="G222" s="13" t="s">
        <v>704</v>
      </c>
      <c r="H222" s="3">
        <v>0.05</v>
      </c>
      <c r="I222" s="3">
        <v>0.0</v>
      </c>
      <c r="J222" s="15">
        <v>6480.0</v>
      </c>
      <c r="K222" s="16">
        <v>610.0</v>
      </c>
      <c r="L222" s="16">
        <v>19.0</v>
      </c>
      <c r="M222" s="16">
        <v>13.0</v>
      </c>
      <c r="N222" s="16">
        <v>10.0</v>
      </c>
      <c r="O222" s="17">
        <f t="shared" si="12"/>
        <v>610</v>
      </c>
      <c r="P222" s="18">
        <v>94.8</v>
      </c>
      <c r="Q222" s="6">
        <f t="array" ref="Q222">XLOOKUP(K222/1000, '运费（邮政）'!$A$2:$A$21, '运费（邮政）'!$B$2:$B$21, "超出范围", 1)</f>
        <v>1960</v>
      </c>
      <c r="R222" s="18">
        <v>24.99</v>
      </c>
      <c r="S222" s="19">
        <f t="shared" si="2"/>
        <v>13.80584056</v>
      </c>
      <c r="T222" s="20">
        <f t="shared" si="3"/>
        <v>119.79</v>
      </c>
      <c r="U222" s="21">
        <f t="array" ref="U222">XLOOKUP(O222/1000, '运费（橙联）'!$A$2:$A$57, '运费（橙联）'!$B$2:$B$57, "超出范围", 1)</f>
        <v>2321</v>
      </c>
      <c r="V222" s="22">
        <f>(P222*'参数表'!$C$2*(1+'参数表'!$C$3))*$B$1+'参数表'!$C$4</f>
        <v>1599.42936</v>
      </c>
      <c r="W222" s="3">
        <v>0.127</v>
      </c>
      <c r="X222" s="4">
        <v>0.0135</v>
      </c>
      <c r="Y222" s="23">
        <f t="shared" si="4"/>
        <v>1856.153892</v>
      </c>
      <c r="Z222" s="24">
        <f t="shared" si="5"/>
        <v>0.1378850874</v>
      </c>
      <c r="AA222" s="25">
        <f t="shared" si="6"/>
        <v>0.2864435019</v>
      </c>
      <c r="AB222" s="23">
        <f t="shared" si="7"/>
        <v>2700.699593</v>
      </c>
      <c r="AC222" s="24">
        <f t="shared" si="8"/>
        <v>0.158769607</v>
      </c>
      <c r="AD222" s="25">
        <f t="shared" si="9"/>
        <v>0.4167746285</v>
      </c>
      <c r="AE222" s="26">
        <f>P222*(1-I222)*(1+'参数表'!$C$6)*(W222+X222+H222)*1.1+0.4*1.1</f>
        <v>22.291874</v>
      </c>
      <c r="AF222" s="26">
        <f t="shared" si="10"/>
        <v>27.5285285</v>
      </c>
    </row>
    <row r="223">
      <c r="A223" s="44" t="s">
        <v>705</v>
      </c>
      <c r="C223" s="60" t="s">
        <v>706</v>
      </c>
      <c r="D223" s="2" t="s">
        <v>61</v>
      </c>
      <c r="E223" s="14"/>
      <c r="F223" s="14"/>
      <c r="G223" s="32"/>
      <c r="H223" s="3">
        <v>0.05</v>
      </c>
      <c r="I223" s="3">
        <v>0.0</v>
      </c>
      <c r="J223" s="15">
        <v>6480.0</v>
      </c>
      <c r="K223" s="16">
        <v>510.0</v>
      </c>
      <c r="L223" s="16">
        <v>34.0</v>
      </c>
      <c r="M223" s="16">
        <v>24.0</v>
      </c>
      <c r="N223" s="16">
        <v>2.0</v>
      </c>
      <c r="O223" s="17">
        <f t="shared" si="12"/>
        <v>510</v>
      </c>
      <c r="P223" s="18">
        <v>94.8</v>
      </c>
      <c r="Q223" s="6">
        <f t="array" ref="Q223">XLOOKUP(K223/1000, '运费（邮政）'!$A$2:$A$21, '运费（邮政）'!$B$2:$B$21, "超出范围", 1)</f>
        <v>1780</v>
      </c>
      <c r="R223" s="18">
        <v>24.99</v>
      </c>
      <c r="S223" s="19">
        <f t="shared" si="2"/>
        <v>14.3762631</v>
      </c>
      <c r="T223" s="20">
        <f t="shared" si="3"/>
        <v>119.79</v>
      </c>
      <c r="U223" s="21">
        <f t="array" ref="U223">XLOOKUP(O223/1000, '运费（橙联）'!$A$2:$A$57, '运费（橙联）'!$B$2:$B$57, "超出范围", 1)</f>
        <v>2222</v>
      </c>
      <c r="V223" s="22">
        <f>(P223*'参数表'!$C$2*(1+'参数表'!$C$3))*$B$1+'参数表'!$C$4</f>
        <v>1599.42936</v>
      </c>
      <c r="W223" s="3">
        <v>0.127</v>
      </c>
      <c r="X223" s="4">
        <v>0.0135</v>
      </c>
      <c r="Y223" s="23">
        <f t="shared" si="4"/>
        <v>2036.153892</v>
      </c>
      <c r="Z223" s="24">
        <f t="shared" si="5"/>
        <v>0.1512564548</v>
      </c>
      <c r="AA223" s="25">
        <f t="shared" si="6"/>
        <v>0.3142212796</v>
      </c>
      <c r="AB223" s="23">
        <f t="shared" si="7"/>
        <v>2799.699593</v>
      </c>
      <c r="AC223" s="24">
        <f t="shared" si="8"/>
        <v>0.1645896512</v>
      </c>
      <c r="AD223" s="25">
        <f t="shared" si="9"/>
        <v>0.4320524063</v>
      </c>
      <c r="AE223" s="26">
        <f>P223*(1-I223)*(1+'参数表'!$C$6)*(W223+X223+H223)*1.1+0.4*1.1</f>
        <v>22.291874</v>
      </c>
      <c r="AF223" s="26">
        <f t="shared" si="10"/>
        <v>27.5285285</v>
      </c>
    </row>
    <row r="224">
      <c r="A224" s="44" t="s">
        <v>707</v>
      </c>
      <c r="C224" s="60" t="s">
        <v>708</v>
      </c>
      <c r="D224" s="2" t="s">
        <v>61</v>
      </c>
      <c r="E224" s="14"/>
      <c r="F224" s="14"/>
      <c r="G224" s="13" t="s">
        <v>709</v>
      </c>
      <c r="H224" s="3">
        <v>0.05</v>
      </c>
      <c r="I224" s="3">
        <v>0.0</v>
      </c>
      <c r="J224" s="15">
        <v>6400.0</v>
      </c>
      <c r="K224" s="16">
        <v>510.0</v>
      </c>
      <c r="L224" s="16">
        <v>21.0</v>
      </c>
      <c r="M224" s="16">
        <v>16.0</v>
      </c>
      <c r="N224" s="16">
        <v>10.0</v>
      </c>
      <c r="O224" s="17">
        <f t="shared" si="12"/>
        <v>510</v>
      </c>
      <c r="P224" s="18">
        <v>94.8</v>
      </c>
      <c r="Q224" s="6">
        <f t="array" ref="Q224">XLOOKUP(K224/1000, '运费（邮政）'!$A$2:$A$21, '运费（邮政）'!$B$2:$B$21, "超出范围", 1)</f>
        <v>1780</v>
      </c>
      <c r="R224" s="18">
        <v>24.99</v>
      </c>
      <c r="S224" s="19">
        <f t="shared" si="2"/>
        <v>14.3762631</v>
      </c>
      <c r="T224" s="20">
        <f t="shared" si="3"/>
        <v>119.79</v>
      </c>
      <c r="U224" s="21">
        <f t="array" ref="U224">XLOOKUP(O224/1000, '运费（橙联）'!$A$2:$A$57, '运费（橙联）'!$B$2:$B$57, "超出范围", 1)</f>
        <v>2222</v>
      </c>
      <c r="V224" s="22">
        <f>(P224*'参数表'!$C$2*(1+'参数表'!$C$3))*$B$1+'参数表'!$C$4</f>
        <v>1599.42936</v>
      </c>
      <c r="W224" s="3">
        <v>0.127</v>
      </c>
      <c r="X224" s="4">
        <v>0.0135</v>
      </c>
      <c r="Y224" s="23">
        <f t="shared" si="4"/>
        <v>2116.153892</v>
      </c>
      <c r="Z224" s="24">
        <f t="shared" si="5"/>
        <v>0.1571992848</v>
      </c>
      <c r="AA224" s="25">
        <f t="shared" si="6"/>
        <v>0.3306490456</v>
      </c>
      <c r="AB224" s="23">
        <f t="shared" si="7"/>
        <v>2879.699593</v>
      </c>
      <c r="AC224" s="24">
        <f t="shared" si="8"/>
        <v>0.1692927172</v>
      </c>
      <c r="AD224" s="25">
        <f t="shared" si="9"/>
        <v>0.4499530614</v>
      </c>
      <c r="AE224" s="26">
        <f>P224*(1-I224)*(1+'参数表'!$C$6)*(W224+X224+H224)*1.1+0.4*1.1</f>
        <v>22.291874</v>
      </c>
      <c r="AF224" s="26">
        <f t="shared" si="10"/>
        <v>27.5285285</v>
      </c>
    </row>
    <row r="225">
      <c r="A225" s="44" t="s">
        <v>710</v>
      </c>
      <c r="B225" s="44" t="s">
        <v>711</v>
      </c>
      <c r="C225" s="60" t="s">
        <v>712</v>
      </c>
      <c r="D225" s="2" t="s">
        <v>61</v>
      </c>
      <c r="E225" s="14"/>
      <c r="F225" s="14"/>
      <c r="G225" s="13" t="s">
        <v>713</v>
      </c>
      <c r="H225" s="3">
        <v>0.05</v>
      </c>
      <c r="I225" s="3">
        <v>0.0</v>
      </c>
      <c r="J225" s="15">
        <v>2750.0</v>
      </c>
      <c r="K225" s="16">
        <v>210.0</v>
      </c>
      <c r="L225" s="16">
        <v>34.0</v>
      </c>
      <c r="M225" s="16">
        <v>24.0</v>
      </c>
      <c r="N225" s="16">
        <v>2.0</v>
      </c>
      <c r="O225" s="17">
        <f t="shared" si="12"/>
        <v>210</v>
      </c>
      <c r="P225" s="18">
        <v>46.8</v>
      </c>
      <c r="Q225" s="6">
        <f t="array" ref="Q225">XLOOKUP(K225/1000, '运费（邮政）'!$A$2:$A$21, '运费（邮政）'!$B$2:$B$21, "超出范围", 1)</f>
        <v>1240</v>
      </c>
      <c r="R225" s="18">
        <v>15.99</v>
      </c>
      <c r="S225" s="19">
        <f t="shared" si="2"/>
        <v>8.764195493</v>
      </c>
      <c r="T225" s="20">
        <f t="shared" si="3"/>
        <v>62.79</v>
      </c>
      <c r="U225" s="21">
        <f t="array" ref="U225">XLOOKUP(O225/1000, '运费（橙联）'!$A$2:$A$57, '运费（橙联）'!$B$2:$B$57, "超出范围", 1)</f>
        <v>1581</v>
      </c>
      <c r="V225" s="22">
        <f>(P225*'参数表'!$C$2*(1+'参数表'!$C$3))*$B$1+'参数表'!$C$4</f>
        <v>903.51576</v>
      </c>
      <c r="W225" s="3">
        <v>0.153</v>
      </c>
      <c r="X225" s="4">
        <v>0.0135</v>
      </c>
      <c r="Y225" s="23">
        <f t="shared" si="4"/>
        <v>852.205396</v>
      </c>
      <c r="Z225" s="24">
        <f t="shared" si="5"/>
        <v>0.1282360353</v>
      </c>
      <c r="AA225" s="25">
        <f t="shared" si="6"/>
        <v>0.3098928713</v>
      </c>
      <c r="AB225" s="23">
        <f t="shared" si="7"/>
        <v>1337.531009</v>
      </c>
      <c r="AC225" s="24">
        <f t="shared" si="8"/>
        <v>0.1500116652</v>
      </c>
      <c r="AD225" s="25">
        <f t="shared" si="9"/>
        <v>0.4863749124</v>
      </c>
      <c r="AE225" s="26">
        <f>P225*(1-I225)*(1+'参数表'!$C$6)*(W225+X225+H225)*1.1+0.4*1.1</f>
        <v>12.699962</v>
      </c>
      <c r="AF225" s="26">
        <f t="shared" si="10"/>
        <v>16.5079805</v>
      </c>
    </row>
    <row r="226">
      <c r="A226" s="44" t="s">
        <v>714</v>
      </c>
      <c r="B226" s="44" t="s">
        <v>715</v>
      </c>
      <c r="C226" s="60" t="s">
        <v>716</v>
      </c>
      <c r="D226" s="2" t="s">
        <v>61</v>
      </c>
      <c r="E226" s="14"/>
      <c r="F226" s="14"/>
      <c r="G226" s="13" t="s">
        <v>717</v>
      </c>
      <c r="H226" s="3">
        <v>0.05</v>
      </c>
      <c r="I226" s="3">
        <v>0.0</v>
      </c>
      <c r="J226" s="15">
        <v>3300.0</v>
      </c>
      <c r="K226" s="16">
        <v>120.0</v>
      </c>
      <c r="L226" s="16">
        <v>14.0</v>
      </c>
      <c r="M226" s="16">
        <v>12.0</v>
      </c>
      <c r="N226" s="16">
        <v>1.0</v>
      </c>
      <c r="O226" s="17">
        <f t="shared" si="12"/>
        <v>120</v>
      </c>
      <c r="P226" s="18">
        <v>52.8</v>
      </c>
      <c r="Q226" s="6">
        <f t="array" ref="Q226">XLOOKUP(K226/1000, '运费（邮政）'!$A$2:$A$21, '运费（邮政）'!$B$2:$B$21, "超出范围", 1)</f>
        <v>1060</v>
      </c>
      <c r="R226" s="18">
        <v>15.99</v>
      </c>
      <c r="S226" s="19">
        <f t="shared" si="2"/>
        <v>9.137358873</v>
      </c>
      <c r="T226" s="20">
        <f t="shared" si="3"/>
        <v>68.79</v>
      </c>
      <c r="U226" s="21">
        <f t="array" ref="U226">XLOOKUP(O226/1000, '运费（橙联）'!$A$2:$A$57, '运费（橙联）'!$B$2:$B$57, "超出范围", 1)</f>
        <v>1367</v>
      </c>
      <c r="V226" s="22">
        <f>(P226*'参数表'!$C$2*(1+'参数表'!$C$3))*$B$1+'参数表'!$C$4</f>
        <v>990.50496</v>
      </c>
      <c r="W226" s="3">
        <v>0.153</v>
      </c>
      <c r="X226" s="4">
        <v>0.0135</v>
      </c>
      <c r="Y226" s="23">
        <f t="shared" si="4"/>
        <v>1111.011216</v>
      </c>
      <c r="Z226" s="24">
        <f t="shared" si="5"/>
        <v>0.1481822471</v>
      </c>
      <c r="AA226" s="25">
        <f t="shared" si="6"/>
        <v>0.3366700655</v>
      </c>
      <c r="AB226" s="23">
        <f t="shared" si="7"/>
        <v>1543.347629</v>
      </c>
      <c r="AC226" s="24">
        <f t="shared" si="8"/>
        <v>0.15799746</v>
      </c>
      <c r="AD226" s="25">
        <f t="shared" si="9"/>
        <v>0.4676810997</v>
      </c>
      <c r="AE226" s="26">
        <f>P226*(1-I226)*(1+'参数表'!$C$6)*(W226+X226+H226)*1.1+0.4*1.1</f>
        <v>14.271752</v>
      </c>
      <c r="AF226" s="26">
        <f t="shared" si="10"/>
        <v>18.0797705</v>
      </c>
    </row>
    <row r="227">
      <c r="A227" s="44" t="s">
        <v>718</v>
      </c>
      <c r="C227" s="60" t="s">
        <v>719</v>
      </c>
      <c r="D227" s="2" t="s">
        <v>61</v>
      </c>
      <c r="E227" s="31"/>
      <c r="F227" s="31" t="s">
        <v>720</v>
      </c>
      <c r="G227" s="13" t="s">
        <v>721</v>
      </c>
      <c r="H227" s="3">
        <v>0.05</v>
      </c>
      <c r="I227" s="3">
        <v>0.0</v>
      </c>
      <c r="J227" s="15">
        <v>2000.0</v>
      </c>
      <c r="K227" s="16">
        <v>110.0</v>
      </c>
      <c r="L227" s="16">
        <v>14.0</v>
      </c>
      <c r="M227" s="16">
        <v>12.0</v>
      </c>
      <c r="N227" s="16">
        <v>1.0</v>
      </c>
      <c r="O227" s="17">
        <f t="shared" si="12"/>
        <v>110</v>
      </c>
      <c r="P227" s="18">
        <v>34.8</v>
      </c>
      <c r="Q227" s="6">
        <f t="array" ref="Q227">XLOOKUP(K227/1000, '运费（邮政）'!$A$2:$A$21, '运费（邮政）'!$B$2:$B$21, "超出范围", 1)</f>
        <v>1060</v>
      </c>
      <c r="R227" s="18">
        <v>12.99</v>
      </c>
      <c r="S227" s="19">
        <f t="shared" si="2"/>
        <v>7.299558873</v>
      </c>
      <c r="T227" s="20">
        <f t="shared" si="3"/>
        <v>47.79</v>
      </c>
      <c r="U227" s="21">
        <f t="array" ref="U227">XLOOKUP(O227/1000, '运费（橙联）'!$A$2:$A$57, '运费（橙联）'!$B$2:$B$57, "超出范围", 1)</f>
        <v>1367</v>
      </c>
      <c r="V227" s="22">
        <f>(P227*'参数表'!$C$2*(1+'参数表'!$C$3))*$B$1+'参数表'!$C$4</f>
        <v>729.53736</v>
      </c>
      <c r="W227" s="3">
        <v>0.127</v>
      </c>
      <c r="X227" s="4">
        <v>0.0135</v>
      </c>
      <c r="Y227" s="23">
        <f t="shared" si="4"/>
        <v>680.056492</v>
      </c>
      <c r="Z227" s="24">
        <f t="shared" si="5"/>
        <v>0.1376186846</v>
      </c>
      <c r="AA227" s="25">
        <f t="shared" si="6"/>
        <v>0.340028246</v>
      </c>
      <c r="AB227" s="23">
        <f t="shared" si="7"/>
        <v>1101.567393</v>
      </c>
      <c r="AC227" s="24">
        <f t="shared" si="8"/>
        <v>0.1623251068</v>
      </c>
      <c r="AD227" s="25">
        <f t="shared" si="9"/>
        <v>0.5507836965</v>
      </c>
      <c r="AE227" s="26">
        <f>P227*(1-I227)*(1+'参数表'!$C$6)*(W227+X227+H227)*1.1+0.4*1.1</f>
        <v>8.461574</v>
      </c>
      <c r="AF227" s="26">
        <f t="shared" si="10"/>
        <v>11.1836285</v>
      </c>
    </row>
    <row r="228">
      <c r="A228" s="44" t="s">
        <v>722</v>
      </c>
      <c r="C228" s="60" t="s">
        <v>723</v>
      </c>
      <c r="D228" s="2" t="s">
        <v>61</v>
      </c>
      <c r="E228" s="31"/>
      <c r="F228" s="31" t="s">
        <v>720</v>
      </c>
      <c r="G228" s="13" t="s">
        <v>724</v>
      </c>
      <c r="H228" s="3">
        <v>0.05</v>
      </c>
      <c r="I228" s="3">
        <v>0.0</v>
      </c>
      <c r="J228" s="15">
        <v>2000.0</v>
      </c>
      <c r="K228" s="16">
        <v>110.0</v>
      </c>
      <c r="L228" s="16">
        <v>14.0</v>
      </c>
      <c r="M228" s="16">
        <v>12.0</v>
      </c>
      <c r="N228" s="16">
        <v>1.0</v>
      </c>
      <c r="O228" s="17">
        <f t="shared" si="12"/>
        <v>110</v>
      </c>
      <c r="P228" s="18">
        <v>34.8</v>
      </c>
      <c r="Q228" s="6">
        <f t="array" ref="Q228">XLOOKUP(K228/1000, '运费（邮政）'!$A$2:$A$21, '运费（邮政）'!$B$2:$B$21, "超出范围", 1)</f>
        <v>1060</v>
      </c>
      <c r="R228" s="18">
        <v>12.99</v>
      </c>
      <c r="S228" s="19">
        <f t="shared" si="2"/>
        <v>7.299558873</v>
      </c>
      <c r="T228" s="20">
        <f t="shared" si="3"/>
        <v>47.79</v>
      </c>
      <c r="U228" s="21">
        <f t="array" ref="U228">XLOOKUP(O228/1000, '运费（橙联）'!$A$2:$A$57, '运费（橙联）'!$B$2:$B$57, "超出范围", 1)</f>
        <v>1367</v>
      </c>
      <c r="V228" s="22">
        <f>(P228*'参数表'!$C$2*(1+'参数表'!$C$3))*$B$1+'参数表'!$C$4</f>
        <v>729.53736</v>
      </c>
      <c r="W228" s="3">
        <v>0.127</v>
      </c>
      <c r="X228" s="4">
        <v>0.0135</v>
      </c>
      <c r="Y228" s="23">
        <f t="shared" si="4"/>
        <v>680.056492</v>
      </c>
      <c r="Z228" s="24">
        <f t="shared" si="5"/>
        <v>0.1376186846</v>
      </c>
      <c r="AA228" s="25">
        <f t="shared" si="6"/>
        <v>0.340028246</v>
      </c>
      <c r="AB228" s="23">
        <f t="shared" si="7"/>
        <v>1101.567393</v>
      </c>
      <c r="AC228" s="24">
        <f t="shared" si="8"/>
        <v>0.1623251068</v>
      </c>
      <c r="AD228" s="25">
        <f t="shared" si="9"/>
        <v>0.5507836965</v>
      </c>
      <c r="AE228" s="26">
        <f>P228*(1-I228)*(1+'参数表'!$C$6)*(W228+X228+H228)*1.1+0.4*1.1</f>
        <v>8.461574</v>
      </c>
      <c r="AF228" s="26">
        <f t="shared" si="10"/>
        <v>11.1836285</v>
      </c>
    </row>
    <row r="229">
      <c r="A229" s="44" t="s">
        <v>725</v>
      </c>
      <c r="B229" s="44" t="s">
        <v>726</v>
      </c>
      <c r="C229" s="60" t="s">
        <v>727</v>
      </c>
      <c r="D229" s="2" t="s">
        <v>61</v>
      </c>
      <c r="E229" s="14"/>
      <c r="F229" s="14"/>
      <c r="G229" s="63" t="s">
        <v>728</v>
      </c>
      <c r="H229" s="3">
        <v>0.05</v>
      </c>
      <c r="I229" s="3">
        <v>0.0</v>
      </c>
      <c r="J229" s="15">
        <v>3500.0</v>
      </c>
      <c r="K229" s="16">
        <v>210.0</v>
      </c>
      <c r="L229" s="16">
        <v>32.0</v>
      </c>
      <c r="M229" s="16">
        <v>31.0</v>
      </c>
      <c r="N229" s="16">
        <v>1.0</v>
      </c>
      <c r="O229" s="17">
        <v>410.0</v>
      </c>
      <c r="P229" s="18">
        <v>54.8</v>
      </c>
      <c r="Q229" s="6">
        <f t="array" ref="Q229">XLOOKUP(K229/1000, '运费（邮政）'!$A$2:$A$21, '运费（邮政）'!$B$2:$B$21, "超出范围", 1)</f>
        <v>1240</v>
      </c>
      <c r="R229" s="18">
        <v>18.99</v>
      </c>
      <c r="S229" s="19">
        <f t="shared" si="2"/>
        <v>12.95423493</v>
      </c>
      <c r="T229" s="20">
        <f t="shared" si="3"/>
        <v>73.79</v>
      </c>
      <c r="U229" s="21">
        <f t="array" ref="U229">XLOOKUP(O229/1000, '运费（橙联）'!$A$2:$A$57, '运费（橙联）'!$B$2:$B$57, "超出范围", 1)</f>
        <v>2060</v>
      </c>
      <c r="V229" s="22">
        <f>(P229*'参数表'!$C$2*(1+'参数表'!$C$3))*$B$1+'参数表'!$C$4</f>
        <v>1019.50136</v>
      </c>
      <c r="W229" s="3">
        <v>0.153</v>
      </c>
      <c r="X229" s="4">
        <v>0.0135</v>
      </c>
      <c r="Y229" s="23">
        <f t="shared" si="4"/>
        <v>940.613156</v>
      </c>
      <c r="Z229" s="24">
        <f t="shared" si="5"/>
        <v>0.120876575</v>
      </c>
      <c r="AA229" s="25">
        <f t="shared" si="6"/>
        <v>0.268746616</v>
      </c>
      <c r="AB229" s="23">
        <f t="shared" si="7"/>
        <v>1155.501269</v>
      </c>
      <c r="AC229" s="24">
        <f t="shared" si="8"/>
        <v>0.1102769058</v>
      </c>
      <c r="AD229" s="25">
        <f t="shared" si="9"/>
        <v>0.3301432197</v>
      </c>
      <c r="AE229" s="26">
        <f>P229*(1-I229)*(1+'参数表'!$C$6)*(W229+X229+H229)*1.1+0.4*1.1</f>
        <v>14.795682</v>
      </c>
      <c r="AF229" s="26">
        <f t="shared" si="10"/>
        <v>19.3181505</v>
      </c>
    </row>
    <row r="230">
      <c r="A230" s="44" t="s">
        <v>729</v>
      </c>
      <c r="B230" s="44" t="s">
        <v>730</v>
      </c>
      <c r="C230" s="60" t="s">
        <v>731</v>
      </c>
      <c r="D230" s="2" t="s">
        <v>61</v>
      </c>
      <c r="E230" s="14"/>
      <c r="F230" s="14"/>
      <c r="G230" s="13" t="s">
        <v>732</v>
      </c>
      <c r="H230" s="3">
        <v>0.05</v>
      </c>
      <c r="I230" s="3">
        <v>0.0</v>
      </c>
      <c r="J230" s="15">
        <v>4500.0</v>
      </c>
      <c r="K230" s="16">
        <v>120.0</v>
      </c>
      <c r="L230" s="16">
        <v>15.0</v>
      </c>
      <c r="M230" s="16">
        <v>13.0</v>
      </c>
      <c r="N230" s="16">
        <v>1.0</v>
      </c>
      <c r="O230" s="17">
        <f t="shared" ref="O230:O295" si="13">max(L230*M230*N230/8000*1000,K230)</f>
        <v>120</v>
      </c>
      <c r="P230" s="18">
        <v>64.8</v>
      </c>
      <c r="Q230" s="6">
        <f t="array" ref="Q230">XLOOKUP(K230/1000, '运费（邮政）'!$A$2:$A$21, '运费（邮政）'!$B$2:$B$21, "超出范围", 1)</f>
        <v>1060</v>
      </c>
      <c r="R230" s="18">
        <v>18.99</v>
      </c>
      <c r="S230" s="19">
        <f t="shared" si="2"/>
        <v>10.36255887</v>
      </c>
      <c r="T230" s="20">
        <f t="shared" si="3"/>
        <v>83.79</v>
      </c>
      <c r="U230" s="21">
        <f t="array" ref="U230">XLOOKUP(O230/1000, '运费（橙联）'!$A$2:$A$57, '运费（橙联）'!$B$2:$B$57, "超出范围", 1)</f>
        <v>1367</v>
      </c>
      <c r="V230" s="22">
        <f>(P230*'参数表'!$C$2*(1+'参数表'!$C$3))*$B$1+'参数表'!$C$4</f>
        <v>1164.48336</v>
      </c>
      <c r="W230" s="3">
        <v>0.153</v>
      </c>
      <c r="X230" s="4">
        <v>0.0135</v>
      </c>
      <c r="Y230" s="23">
        <f t="shared" si="4"/>
        <v>1168.622856</v>
      </c>
      <c r="Z230" s="24">
        <f t="shared" si="5"/>
        <v>0.1270021362</v>
      </c>
      <c r="AA230" s="25">
        <f t="shared" si="6"/>
        <v>0.259693968</v>
      </c>
      <c r="AB230" s="23">
        <f t="shared" si="7"/>
        <v>1751.528969</v>
      </c>
      <c r="AC230" s="24">
        <f t="shared" si="8"/>
        <v>0.1472098228</v>
      </c>
      <c r="AD230" s="25">
        <f t="shared" si="9"/>
        <v>0.3892286598</v>
      </c>
      <c r="AE230" s="26">
        <f>P230*(1-I230)*(1+'参数表'!$C$6)*(W230+X230+H230)*1.1+0.4*1.1</f>
        <v>17.415332</v>
      </c>
      <c r="AF230" s="26">
        <f t="shared" si="10"/>
        <v>21.9378005</v>
      </c>
    </row>
    <row r="231">
      <c r="A231" s="44" t="s">
        <v>733</v>
      </c>
      <c r="B231" s="44" t="s">
        <v>734</v>
      </c>
      <c r="C231" s="60" t="s">
        <v>735</v>
      </c>
      <c r="D231" s="2" t="s">
        <v>61</v>
      </c>
      <c r="E231" s="14"/>
      <c r="F231" s="14"/>
      <c r="G231" s="13" t="s">
        <v>736</v>
      </c>
      <c r="H231" s="3">
        <v>0.05</v>
      </c>
      <c r="I231" s="3">
        <v>0.0</v>
      </c>
      <c r="J231" s="15">
        <v>3204.0</v>
      </c>
      <c r="K231" s="16">
        <v>120.0</v>
      </c>
      <c r="L231" s="16">
        <v>34.0</v>
      </c>
      <c r="M231" s="16">
        <v>24.0</v>
      </c>
      <c r="N231" s="16">
        <v>2.0</v>
      </c>
      <c r="O231" s="17">
        <f t="shared" si="13"/>
        <v>204</v>
      </c>
      <c r="P231" s="18">
        <v>49.8</v>
      </c>
      <c r="Q231" s="6">
        <f t="array" ref="Q231">XLOOKUP(K231/1000, '运费（邮政）'!$A$2:$A$21, '运费（邮政）'!$B$2:$B$21, "超出范围", 1)</f>
        <v>1060</v>
      </c>
      <c r="R231" s="18">
        <v>15.99</v>
      </c>
      <c r="S231" s="19">
        <f t="shared" si="2"/>
        <v>10.33810113</v>
      </c>
      <c r="T231" s="20">
        <f t="shared" si="3"/>
        <v>65.79</v>
      </c>
      <c r="U231" s="21">
        <f t="array" ref="U231">XLOOKUP(O231/1000, '运费（橙联）'!$A$2:$A$57, '运费（橙联）'!$B$2:$B$57, "超出范围", 1)</f>
        <v>1581</v>
      </c>
      <c r="V231" s="22">
        <f>(P231*'参数表'!$C$2*(1+'参数表'!$C$3))*$B$1+'参数表'!$C$4</f>
        <v>947.01036</v>
      </c>
      <c r="W231" s="3">
        <v>0.153</v>
      </c>
      <c r="X231" s="4">
        <v>0.0135</v>
      </c>
      <c r="Y231" s="23">
        <f t="shared" si="4"/>
        <v>892.608306</v>
      </c>
      <c r="Z231" s="24">
        <f t="shared" si="5"/>
        <v>0.1262243772</v>
      </c>
      <c r="AA231" s="25">
        <f t="shared" si="6"/>
        <v>0.2785918558</v>
      </c>
      <c r="AB231" s="23">
        <f t="shared" si="7"/>
        <v>1154.439319</v>
      </c>
      <c r="AC231" s="24">
        <f t="shared" si="8"/>
        <v>0.1235727977</v>
      </c>
      <c r="AD231" s="25">
        <f t="shared" si="9"/>
        <v>0.3603118973</v>
      </c>
      <c r="AE231" s="26">
        <f>P231*(1-I231)*(1+'参数表'!$C$6)*(W231+X231+H231)*1.1+0.4*1.1</f>
        <v>13.485857</v>
      </c>
      <c r="AF231" s="26">
        <f t="shared" si="10"/>
        <v>17.2938755</v>
      </c>
    </row>
    <row r="232">
      <c r="A232" s="44" t="s">
        <v>737</v>
      </c>
      <c r="B232" s="54" t="s">
        <v>738</v>
      </c>
      <c r="C232" s="60" t="s">
        <v>739</v>
      </c>
      <c r="D232" s="2" t="s">
        <v>740</v>
      </c>
      <c r="E232" s="2"/>
      <c r="F232" s="2">
        <v>2.27</v>
      </c>
      <c r="G232" s="13" t="s">
        <v>741</v>
      </c>
      <c r="H232" s="3">
        <v>0.05</v>
      </c>
      <c r="I232" s="3">
        <v>0.0</v>
      </c>
      <c r="J232" s="15">
        <v>3100.0</v>
      </c>
      <c r="K232" s="16"/>
      <c r="L232" s="16">
        <v>34.0</v>
      </c>
      <c r="M232" s="16">
        <v>24.0</v>
      </c>
      <c r="N232" s="16">
        <v>10.0</v>
      </c>
      <c r="O232" s="17">
        <f t="shared" si="13"/>
        <v>1020</v>
      </c>
      <c r="P232" s="18"/>
      <c r="Q232" s="6">
        <f t="array" ref="Q232">XLOOKUP(K232/1000, '运费（邮政）'!$A$2:$A$21, '运费（邮政）'!$B$2:$B$21, "超出范围", 1)</f>
        <v>880</v>
      </c>
      <c r="R232" s="18"/>
      <c r="S232" s="19">
        <f t="shared" si="2"/>
        <v>17.47183099</v>
      </c>
      <c r="T232" s="20">
        <f t="shared" si="3"/>
        <v>0</v>
      </c>
      <c r="U232" s="21">
        <f t="array" ref="U232">XLOOKUP(O232/1000, '运费（橙联）'!$A$2:$A$57, '运费（橙联）'!$B$2:$B$57, "超出范围", 1)</f>
        <v>3136</v>
      </c>
      <c r="V232" s="22">
        <f>(P232*'参数表'!$C$2*(1+'参数表'!$C$3))*$B$1+'参数表'!$C$4</f>
        <v>225</v>
      </c>
      <c r="W232" s="3">
        <v>0.153</v>
      </c>
      <c r="X232" s="4">
        <v>0.0135</v>
      </c>
      <c r="Y232" s="23">
        <f t="shared" si="4"/>
        <v>-4042.48</v>
      </c>
      <c r="Z232" s="24" t="str">
        <f t="shared" si="5"/>
        <v>#DIV/0!</v>
      </c>
      <c r="AA232" s="25">
        <f t="shared" si="6"/>
        <v>-1.304025806</v>
      </c>
      <c r="AB232" s="23">
        <f t="shared" si="7"/>
        <v>-6523.48</v>
      </c>
      <c r="AC232" s="24" t="str">
        <f t="shared" si="8"/>
        <v>#DIV/0!</v>
      </c>
      <c r="AD232" s="25">
        <f t="shared" si="9"/>
        <v>-2.104348387</v>
      </c>
      <c r="AE232" s="26">
        <f>P232*(1-I232)*(1+'参数表'!$C$6)*(W232+X232+H232)*1.1+0.4*1.1</f>
        <v>0.44</v>
      </c>
      <c r="AF232" s="26">
        <f t="shared" si="10"/>
        <v>0.44</v>
      </c>
    </row>
    <row r="233">
      <c r="A233" s="44" t="s">
        <v>742</v>
      </c>
      <c r="B233" s="44" t="s">
        <v>743</v>
      </c>
      <c r="C233" s="60" t="s">
        <v>744</v>
      </c>
      <c r="D233" s="2" t="s">
        <v>61</v>
      </c>
      <c r="E233" s="14"/>
      <c r="F233" s="14"/>
      <c r="G233" s="13" t="s">
        <v>745</v>
      </c>
      <c r="H233" s="3">
        <v>0.05</v>
      </c>
      <c r="I233" s="3">
        <v>0.0</v>
      </c>
      <c r="J233" s="15">
        <v>3799.0</v>
      </c>
      <c r="K233" s="16">
        <v>120.0</v>
      </c>
      <c r="L233" s="16">
        <v>15.0</v>
      </c>
      <c r="M233" s="16">
        <v>13.0</v>
      </c>
      <c r="N233" s="16">
        <v>1.0</v>
      </c>
      <c r="O233" s="17">
        <f t="shared" si="13"/>
        <v>120</v>
      </c>
      <c r="P233" s="18">
        <v>56.8</v>
      </c>
      <c r="Q233" s="6">
        <f t="array" ref="Q233">XLOOKUP(K233/1000, '运费（邮政）'!$A$2:$A$21, '运费（邮政）'!$B$2:$B$21, "超出范围", 1)</f>
        <v>1060</v>
      </c>
      <c r="R233" s="18">
        <v>15.99</v>
      </c>
      <c r="S233" s="19">
        <f t="shared" si="2"/>
        <v>9.545758873</v>
      </c>
      <c r="T233" s="20">
        <f t="shared" si="3"/>
        <v>72.79</v>
      </c>
      <c r="U233" s="21">
        <f t="array" ref="U233">XLOOKUP(O233/1000, '运费（橙联）'!$A$2:$A$57, '运费（橙联）'!$B$2:$B$57, "超出范围", 1)</f>
        <v>1367</v>
      </c>
      <c r="V233" s="22">
        <f>(P233*'参数表'!$C$2*(1+'参数表'!$C$3))*$B$1+'参数表'!$C$4</f>
        <v>1048.49776</v>
      </c>
      <c r="W233" s="3">
        <v>0.153</v>
      </c>
      <c r="X233" s="4">
        <v>0.0135</v>
      </c>
      <c r="Y233" s="23">
        <f t="shared" si="4"/>
        <v>1031.215096</v>
      </c>
      <c r="Z233" s="24">
        <f t="shared" si="5"/>
        <v>0.1278534884</v>
      </c>
      <c r="AA233" s="25">
        <f t="shared" si="6"/>
        <v>0.2714438263</v>
      </c>
      <c r="AB233" s="23">
        <f t="shared" si="7"/>
        <v>1405.558709</v>
      </c>
      <c r="AC233" s="24">
        <f t="shared" si="8"/>
        <v>0.1359843491</v>
      </c>
      <c r="AD233" s="25">
        <f t="shared" si="9"/>
        <v>0.3699812343</v>
      </c>
      <c r="AE233" s="26">
        <f>P233*(1-I233)*(1+'参数表'!$C$6)*(W233+X233+H233)*1.1+0.4*1.1</f>
        <v>15.319612</v>
      </c>
      <c r="AF233" s="26">
        <f t="shared" si="10"/>
        <v>19.1276305</v>
      </c>
    </row>
    <row r="234">
      <c r="A234" s="44" t="s">
        <v>746</v>
      </c>
      <c r="B234" s="44" t="s">
        <v>747</v>
      </c>
      <c r="C234" s="60" t="s">
        <v>748</v>
      </c>
      <c r="D234" s="2" t="s">
        <v>61</v>
      </c>
      <c r="E234" s="14"/>
      <c r="F234" s="14"/>
      <c r="G234" s="13" t="s">
        <v>749</v>
      </c>
      <c r="H234" s="3">
        <v>0.05</v>
      </c>
      <c r="I234" s="3">
        <v>0.0</v>
      </c>
      <c r="J234" s="15">
        <v>9980.0</v>
      </c>
      <c r="K234" s="16">
        <v>810.0</v>
      </c>
      <c r="L234" s="16">
        <v>34.0</v>
      </c>
      <c r="M234" s="16">
        <v>24.0</v>
      </c>
      <c r="N234" s="16">
        <v>2.0</v>
      </c>
      <c r="O234" s="17">
        <f t="shared" si="13"/>
        <v>810</v>
      </c>
      <c r="P234" s="18">
        <v>148.0</v>
      </c>
      <c r="Q234" s="6">
        <f t="array" ref="Q234">XLOOKUP(K234/1000, '运费（邮政）'!$A$2:$A$21, '运费（邮政）'!$B$2:$B$21, "超出范围", 1)</f>
        <v>2320</v>
      </c>
      <c r="R234" s="18">
        <v>24.99</v>
      </c>
      <c r="S234" s="19">
        <f t="shared" si="2"/>
        <v>20.2164338</v>
      </c>
      <c r="T234" s="20">
        <f t="shared" si="3"/>
        <v>172.99</v>
      </c>
      <c r="U234" s="21">
        <f t="array" ref="U234">XLOOKUP(O234/1000, '运费（橙联）'!$A$2:$A$57, '运费（橙联）'!$B$2:$B$57, "超出范围", 1)</f>
        <v>2820</v>
      </c>
      <c r="V234" s="22">
        <f>(P234*'参数表'!$C$2*(1+'参数表'!$C$3))*$B$1+'参数表'!$C$4</f>
        <v>2370.7336</v>
      </c>
      <c r="W234" s="3">
        <v>0.153</v>
      </c>
      <c r="X234" s="4">
        <v>0.0135</v>
      </c>
      <c r="Y234" s="23">
        <f t="shared" si="4"/>
        <v>3148.06356</v>
      </c>
      <c r="Z234" s="24">
        <f t="shared" si="5"/>
        <v>0.1497936601</v>
      </c>
      <c r="AA234" s="25">
        <f t="shared" si="6"/>
        <v>0.3154372305</v>
      </c>
      <c r="AB234" s="23">
        <f t="shared" si="7"/>
        <v>2980.815633</v>
      </c>
      <c r="AC234" s="24">
        <f t="shared" si="8"/>
        <v>0.1213460858</v>
      </c>
      <c r="AD234" s="25">
        <f t="shared" si="9"/>
        <v>0.2986789211</v>
      </c>
      <c r="AE234" s="26">
        <f>P234*(1-I234)*(1+'参数表'!$C$6)*(W234+X234+H234)*1.1+0.4*1.1</f>
        <v>39.21082</v>
      </c>
      <c r="AF234" s="26">
        <f t="shared" si="10"/>
        <v>45.1621885</v>
      </c>
    </row>
    <row r="235">
      <c r="A235" s="44" t="s">
        <v>750</v>
      </c>
      <c r="B235" s="44" t="s">
        <v>751</v>
      </c>
      <c r="C235" s="60" t="s">
        <v>752</v>
      </c>
      <c r="D235" s="2" t="s">
        <v>61</v>
      </c>
      <c r="E235" s="14"/>
      <c r="F235" s="14"/>
      <c r="G235" s="13" t="s">
        <v>753</v>
      </c>
      <c r="H235" s="3">
        <v>0.05</v>
      </c>
      <c r="I235" s="3">
        <v>0.0</v>
      </c>
      <c r="J235" s="15">
        <v>16500.0</v>
      </c>
      <c r="K235" s="16">
        <v>1210.0</v>
      </c>
      <c r="L235" s="16">
        <v>34.0</v>
      </c>
      <c r="M235" s="16">
        <v>24.0</v>
      </c>
      <c r="N235" s="16">
        <v>2.0</v>
      </c>
      <c r="O235" s="17">
        <f t="shared" si="13"/>
        <v>1210</v>
      </c>
      <c r="P235" s="18">
        <v>252.0</v>
      </c>
      <c r="Q235" s="6">
        <f t="array" ref="Q235">XLOOKUP(K235/1000, '运费（邮政）'!$A$2:$A$21, '运费（邮政）'!$B$2:$B$21, "超出范围", 1)</f>
        <v>3040</v>
      </c>
      <c r="R235" s="18">
        <v>24.99</v>
      </c>
      <c r="S235" s="19">
        <f t="shared" si="2"/>
        <v>29.60948169</v>
      </c>
      <c r="T235" s="20">
        <f t="shared" si="3"/>
        <v>276.99</v>
      </c>
      <c r="U235" s="21">
        <f t="array" ref="U235">XLOOKUP(O235/1000, '运费（橙联）'!$A$2:$A$57, '运费（橙联）'!$B$2:$B$57, "超出范围", 1)</f>
        <v>3366</v>
      </c>
      <c r="V235" s="22">
        <f>(P235*'参数表'!$C$2*(1+'参数表'!$C$3))*$B$1+'参数表'!$C$4</f>
        <v>3878.5464</v>
      </c>
      <c r="W235" s="3">
        <v>0.153</v>
      </c>
      <c r="X235" s="4">
        <v>0.0135</v>
      </c>
      <c r="Y235" s="23">
        <f t="shared" si="4"/>
        <v>6807.36444</v>
      </c>
      <c r="Z235" s="24">
        <f t="shared" si="5"/>
        <v>0.1902348659</v>
      </c>
      <c r="AA235" s="25">
        <f t="shared" si="6"/>
        <v>0.4125675418</v>
      </c>
      <c r="AB235" s="23">
        <f t="shared" si="7"/>
        <v>5306.303713</v>
      </c>
      <c r="AC235" s="24">
        <f t="shared" si="8"/>
        <v>0.1349086104</v>
      </c>
      <c r="AD235" s="25">
        <f t="shared" si="9"/>
        <v>0.3215941644</v>
      </c>
      <c r="AE235" s="26">
        <f>P235*(1-I235)*(1+'参数表'!$C$6)*(W235+X235+H235)*1.1+0.4*1.1</f>
        <v>66.45518</v>
      </c>
      <c r="AF235" s="26">
        <f t="shared" si="10"/>
        <v>72.4065485</v>
      </c>
    </row>
    <row r="236">
      <c r="A236" s="44" t="s">
        <v>754</v>
      </c>
      <c r="C236" s="60" t="s">
        <v>755</v>
      </c>
      <c r="D236" s="2" t="s">
        <v>61</v>
      </c>
      <c r="E236" s="14"/>
      <c r="F236" s="14"/>
      <c r="G236" s="13" t="s">
        <v>756</v>
      </c>
      <c r="H236" s="3">
        <v>0.05</v>
      </c>
      <c r="I236" s="3">
        <v>0.0</v>
      </c>
      <c r="J236" s="15">
        <v>2970.0</v>
      </c>
      <c r="K236" s="16">
        <v>180.0</v>
      </c>
      <c r="L236" s="16">
        <v>34.0</v>
      </c>
      <c r="M236" s="16">
        <v>24.0</v>
      </c>
      <c r="N236" s="16">
        <v>2.0</v>
      </c>
      <c r="O236" s="17">
        <f t="shared" si="13"/>
        <v>204</v>
      </c>
      <c r="P236" s="18">
        <v>46.8</v>
      </c>
      <c r="Q236" s="6">
        <f t="array" ref="Q236">XLOOKUP(K236/1000, '运费（邮政）'!$A$2:$A$21, '运费（邮政）'!$B$2:$B$21, "超出范围", 1)</f>
        <v>1060</v>
      </c>
      <c r="R236" s="18">
        <v>15.99</v>
      </c>
      <c r="S236" s="19">
        <f t="shared" si="2"/>
        <v>10.03180113</v>
      </c>
      <c r="T236" s="20">
        <f t="shared" si="3"/>
        <v>62.79</v>
      </c>
      <c r="U236" s="21">
        <f t="array" ref="U236">XLOOKUP(O236/1000, '运费（橙联）'!$A$2:$A$57, '运费（橙联）'!$B$2:$B$57, "超出范围", 1)</f>
        <v>1581</v>
      </c>
      <c r="V236" s="22">
        <f>(P236*'参数表'!$C$2*(1+'参数表'!$C$3))*$B$1+'参数表'!$C$4</f>
        <v>903.51576</v>
      </c>
      <c r="W236" s="3">
        <v>0.127</v>
      </c>
      <c r="X236" s="4">
        <v>0.0135</v>
      </c>
      <c r="Y236" s="23">
        <f t="shared" si="4"/>
        <v>1021.275972</v>
      </c>
      <c r="Z236" s="24">
        <f t="shared" si="5"/>
        <v>0.1536770152</v>
      </c>
      <c r="AA236" s="25">
        <f t="shared" si="6"/>
        <v>0.3438639636</v>
      </c>
      <c r="AB236" s="23">
        <f t="shared" si="7"/>
        <v>1391.540173</v>
      </c>
      <c r="AC236" s="24">
        <f t="shared" si="8"/>
        <v>0.1560690983</v>
      </c>
      <c r="AD236" s="25">
        <f t="shared" si="9"/>
        <v>0.4685320448</v>
      </c>
      <c r="AE236" s="26">
        <f>P236*(1-I236)*(1+'参数表'!$C$6)*(W236+X236+H236)*1.1+0.4*1.1</f>
        <v>11.227634</v>
      </c>
      <c r="AF236" s="26">
        <f t="shared" si="10"/>
        <v>14.5783385</v>
      </c>
    </row>
    <row r="237">
      <c r="A237" s="44" t="s">
        <v>757</v>
      </c>
      <c r="C237" s="60" t="s">
        <v>758</v>
      </c>
      <c r="D237" s="2" t="s">
        <v>61</v>
      </c>
      <c r="E237" s="14"/>
      <c r="F237" s="14"/>
      <c r="G237" s="32"/>
      <c r="H237" s="3">
        <v>0.05</v>
      </c>
      <c r="I237" s="3">
        <v>0.0</v>
      </c>
      <c r="J237" s="15">
        <v>1100.0</v>
      </c>
      <c r="K237" s="16">
        <v>80.0</v>
      </c>
      <c r="L237" s="16">
        <v>14.0</v>
      </c>
      <c r="M237" s="16">
        <v>12.0</v>
      </c>
      <c r="N237" s="16">
        <v>1.0</v>
      </c>
      <c r="O237" s="17">
        <f t="shared" si="13"/>
        <v>80</v>
      </c>
      <c r="P237" s="18">
        <v>22.8</v>
      </c>
      <c r="Q237" s="6">
        <f t="array" ref="Q237">XLOOKUP(K237/1000, '运费（邮政）'!$A$2:$A$21, '运费（邮政）'!$B$2:$B$21, "超出范围", 1)</f>
        <v>880</v>
      </c>
      <c r="R237" s="18">
        <v>9.99</v>
      </c>
      <c r="S237" s="19">
        <f t="shared" si="2"/>
        <v>6.356049014</v>
      </c>
      <c r="T237" s="20">
        <f t="shared" si="3"/>
        <v>32.79</v>
      </c>
      <c r="U237" s="21">
        <f t="array" ref="U237">XLOOKUP(O237/1000, '运费（橙联）'!$A$2:$A$57, '运费（橙联）'!$B$2:$B$57, "超出范围", 1)</f>
        <v>1227</v>
      </c>
      <c r="V237" s="22">
        <f>(P237*'参数表'!$C$2*(1+'参数表'!$C$3))*$B$1+'参数表'!$C$4</f>
        <v>555.55896</v>
      </c>
      <c r="W237" s="3">
        <v>0.127</v>
      </c>
      <c r="X237" s="4">
        <v>0.0135</v>
      </c>
      <c r="Y237" s="23">
        <f t="shared" si="4"/>
        <v>448.837012</v>
      </c>
      <c r="Z237" s="24">
        <f t="shared" si="5"/>
        <v>0.1386326328</v>
      </c>
      <c r="AA237" s="25">
        <f t="shared" si="6"/>
        <v>0.4080336473</v>
      </c>
      <c r="AB237" s="23">
        <f t="shared" si="7"/>
        <v>667.594613</v>
      </c>
      <c r="AC237" s="24">
        <f t="shared" si="8"/>
        <v>0.1433781798</v>
      </c>
      <c r="AD237" s="25">
        <f t="shared" si="9"/>
        <v>0.6069041936</v>
      </c>
      <c r="AE237" s="26">
        <f>P237*(1-I237)*(1+'参数表'!$C$6)*(W237+X237+H237)*1.1+0.4*1.1</f>
        <v>5.695514</v>
      </c>
      <c r="AF237" s="26">
        <f t="shared" si="10"/>
        <v>7.7889185</v>
      </c>
    </row>
    <row r="238">
      <c r="A238" s="44" t="s">
        <v>759</v>
      </c>
      <c r="C238" s="60" t="s">
        <v>760</v>
      </c>
      <c r="D238" s="2" t="s">
        <v>61</v>
      </c>
      <c r="E238" s="14"/>
      <c r="F238" s="14"/>
      <c r="G238" s="13" t="s">
        <v>761</v>
      </c>
      <c r="H238" s="3">
        <v>0.05</v>
      </c>
      <c r="I238" s="3">
        <v>0.0</v>
      </c>
      <c r="J238" s="15">
        <v>1095.0</v>
      </c>
      <c r="K238" s="16">
        <v>180.0</v>
      </c>
      <c r="L238" s="16">
        <v>34.0</v>
      </c>
      <c r="M238" s="16">
        <v>24.0</v>
      </c>
      <c r="N238" s="16">
        <v>2.0</v>
      </c>
      <c r="O238" s="17">
        <f t="shared" si="13"/>
        <v>204</v>
      </c>
      <c r="P238" s="18">
        <v>22.8</v>
      </c>
      <c r="Q238" s="6">
        <f t="array" ref="Q238">XLOOKUP(K238/1000, '运费（邮政）'!$A$2:$A$21, '运费（邮政）'!$B$2:$B$21, "超出范围", 1)</f>
        <v>1060</v>
      </c>
      <c r="R238" s="18">
        <v>12.99</v>
      </c>
      <c r="S238" s="19">
        <f t="shared" si="2"/>
        <v>7.581401127</v>
      </c>
      <c r="T238" s="20">
        <f t="shared" si="3"/>
        <v>35.79</v>
      </c>
      <c r="U238" s="21">
        <f t="array" ref="U238">XLOOKUP(O238/1000, '运费（橙联）'!$A$2:$A$57, '运费（橙联）'!$B$2:$B$57, "超出范围", 1)</f>
        <v>1581</v>
      </c>
      <c r="V238" s="22">
        <f>(P238*'参数表'!$C$2*(1+'参数表'!$C$3))*$B$1+'参数表'!$C$4</f>
        <v>555.55896</v>
      </c>
      <c r="W238" s="3">
        <v>0.127</v>
      </c>
      <c r="X238" s="4">
        <v>0.0135</v>
      </c>
      <c r="Y238" s="23">
        <f t="shared" si="4"/>
        <v>273.837012</v>
      </c>
      <c r="Z238" s="24">
        <f t="shared" si="5"/>
        <v>0.08458024833</v>
      </c>
      <c r="AA238" s="25">
        <f t="shared" si="6"/>
        <v>0.250079463</v>
      </c>
      <c r="AB238" s="23">
        <f t="shared" si="7"/>
        <v>655.326313</v>
      </c>
      <c r="AC238" s="24">
        <f t="shared" si="8"/>
        <v>0.1289459077</v>
      </c>
      <c r="AD238" s="25">
        <f t="shared" si="9"/>
        <v>0.5984715187</v>
      </c>
      <c r="AE238" s="26">
        <f>P238*(1-I238)*(1+'参数表'!$C$6)*(W238+X238+H238)*1.1+0.4*1.1</f>
        <v>5.695514</v>
      </c>
      <c r="AF238" s="26">
        <f t="shared" si="10"/>
        <v>8.4175685</v>
      </c>
    </row>
    <row r="239">
      <c r="A239" s="44" t="s">
        <v>762</v>
      </c>
      <c r="C239" s="60" t="s">
        <v>763</v>
      </c>
      <c r="D239" s="2" t="s">
        <v>61</v>
      </c>
      <c r="E239" s="31"/>
      <c r="F239" s="31" t="s">
        <v>764</v>
      </c>
      <c r="G239" s="32"/>
      <c r="H239" s="3">
        <v>0.05</v>
      </c>
      <c r="I239" s="3">
        <v>0.0</v>
      </c>
      <c r="J239" s="15">
        <v>2320.0</v>
      </c>
      <c r="K239" s="16">
        <v>80.0</v>
      </c>
      <c r="L239" s="16">
        <v>14.0</v>
      </c>
      <c r="M239" s="16">
        <v>12.0</v>
      </c>
      <c r="N239" s="16">
        <v>1.0</v>
      </c>
      <c r="O239" s="17">
        <f t="shared" si="13"/>
        <v>80</v>
      </c>
      <c r="P239" s="18">
        <v>37.8</v>
      </c>
      <c r="Q239" s="6">
        <f t="array" ref="Q239">XLOOKUP(K239/1000, '运费（邮政）'!$A$2:$A$21, '运费（邮政）'!$B$2:$B$21, "超出范围", 1)</f>
        <v>880</v>
      </c>
      <c r="R239" s="18">
        <v>15.99</v>
      </c>
      <c r="S239" s="19">
        <f t="shared" si="2"/>
        <v>7.887549014</v>
      </c>
      <c r="T239" s="20">
        <f t="shared" si="3"/>
        <v>53.79</v>
      </c>
      <c r="U239" s="21">
        <f t="array" ref="U239">XLOOKUP(O239/1000, '运费（橙联）'!$A$2:$A$57, '运费（橙联）'!$B$2:$B$57, "超出范围", 1)</f>
        <v>1227</v>
      </c>
      <c r="V239" s="22">
        <f>(P239*'参数表'!$C$2*(1+'参数表'!$C$3))*$B$1+'参数表'!$C$4</f>
        <v>773.03196</v>
      </c>
      <c r="W239" s="3">
        <v>0.127</v>
      </c>
      <c r="X239" s="4">
        <v>0.0135</v>
      </c>
      <c r="Y239" s="23">
        <f t="shared" si="4"/>
        <v>867.861362</v>
      </c>
      <c r="Z239" s="24">
        <f t="shared" si="5"/>
        <v>0.1616851781</v>
      </c>
      <c r="AA239" s="25">
        <f t="shared" si="6"/>
        <v>0.3740781733</v>
      </c>
      <c r="AB239" s="23">
        <f t="shared" si="7"/>
        <v>1542.609363</v>
      </c>
      <c r="AC239" s="24">
        <f t="shared" si="8"/>
        <v>0.2019603313</v>
      </c>
      <c r="AD239" s="25">
        <f t="shared" si="9"/>
        <v>0.6649178289</v>
      </c>
      <c r="AE239" s="26">
        <f>P239*(1-I239)*(1+'参数表'!$C$6)*(W239+X239+H239)*1.1+0.4*1.1</f>
        <v>9.153089</v>
      </c>
      <c r="AF239" s="26">
        <f t="shared" si="10"/>
        <v>12.5037935</v>
      </c>
    </row>
    <row r="240">
      <c r="A240" s="44" t="s">
        <v>765</v>
      </c>
      <c r="C240" s="60" t="s">
        <v>766</v>
      </c>
      <c r="D240" s="2" t="s">
        <v>61</v>
      </c>
      <c r="E240" s="31"/>
      <c r="F240" s="31" t="s">
        <v>767</v>
      </c>
      <c r="G240" s="32"/>
      <c r="H240" s="3">
        <v>0.05</v>
      </c>
      <c r="I240" s="3">
        <v>0.0</v>
      </c>
      <c r="J240" s="15">
        <v>2260.0</v>
      </c>
      <c r="K240" s="16">
        <v>80.0</v>
      </c>
      <c r="L240" s="16">
        <v>14.0</v>
      </c>
      <c r="M240" s="16">
        <v>12.0</v>
      </c>
      <c r="N240" s="16">
        <v>1.0</v>
      </c>
      <c r="O240" s="17">
        <f t="shared" si="13"/>
        <v>80</v>
      </c>
      <c r="P240" s="18">
        <v>37.8</v>
      </c>
      <c r="Q240" s="6">
        <f t="array" ref="Q240">XLOOKUP(K240/1000, '运费（邮政）'!$A$2:$A$21, '运费（邮政）'!$B$2:$B$21, "超出范围", 1)</f>
        <v>880</v>
      </c>
      <c r="R240" s="18">
        <v>15.99</v>
      </c>
      <c r="S240" s="19">
        <f t="shared" si="2"/>
        <v>7.887549014</v>
      </c>
      <c r="T240" s="20">
        <f t="shared" si="3"/>
        <v>53.79</v>
      </c>
      <c r="U240" s="21">
        <f t="array" ref="U240">XLOOKUP(O240/1000, '运费（橙联）'!$A$2:$A$57, '运费（橙联）'!$B$2:$B$57, "超出范围", 1)</f>
        <v>1227</v>
      </c>
      <c r="V240" s="22">
        <f>(P240*'参数表'!$C$2*(1+'参数表'!$C$3))*$B$1+'参数表'!$C$4</f>
        <v>773.03196</v>
      </c>
      <c r="W240" s="3">
        <v>0.127</v>
      </c>
      <c r="X240" s="4">
        <v>0.0135</v>
      </c>
      <c r="Y240" s="23">
        <f t="shared" si="4"/>
        <v>927.861362</v>
      </c>
      <c r="Z240" s="24">
        <f t="shared" si="5"/>
        <v>0.1728633583</v>
      </c>
      <c r="AA240" s="25">
        <f t="shared" si="6"/>
        <v>0.4105581248</v>
      </c>
      <c r="AB240" s="23">
        <f t="shared" si="7"/>
        <v>1602.609363</v>
      </c>
      <c r="AC240" s="24">
        <f t="shared" si="8"/>
        <v>0.2098156057</v>
      </c>
      <c r="AD240" s="25">
        <f t="shared" si="9"/>
        <v>0.7091191872</v>
      </c>
      <c r="AE240" s="26">
        <f>P240*(1-I240)*(1+'参数表'!$C$6)*(W240+X240+H240)*1.1+0.4*1.1</f>
        <v>9.153089</v>
      </c>
      <c r="AF240" s="26">
        <f t="shared" si="10"/>
        <v>12.5037935</v>
      </c>
    </row>
    <row r="241">
      <c r="A241" s="54" t="s">
        <v>768</v>
      </c>
      <c r="C241" s="60" t="s">
        <v>769</v>
      </c>
      <c r="D241" s="2" t="s">
        <v>61</v>
      </c>
      <c r="E241" s="14"/>
      <c r="F241" s="14"/>
      <c r="G241" s="13" t="s">
        <v>770</v>
      </c>
      <c r="H241" s="3">
        <v>0.05</v>
      </c>
      <c r="I241" s="3">
        <v>0.0</v>
      </c>
      <c r="J241" s="15">
        <v>1300.0</v>
      </c>
      <c r="K241" s="16">
        <v>60.0</v>
      </c>
      <c r="L241" s="16">
        <v>14.0</v>
      </c>
      <c r="M241" s="16">
        <v>12.0</v>
      </c>
      <c r="N241" s="16">
        <v>1.0</v>
      </c>
      <c r="O241" s="17">
        <f t="shared" si="13"/>
        <v>60</v>
      </c>
      <c r="P241" s="18">
        <v>24.8</v>
      </c>
      <c r="Q241" s="6">
        <f t="array" ref="Q241">XLOOKUP(K241/1000, '运费（邮政）'!$A$2:$A$21, '运费（邮政）'!$B$2:$B$21, "超出范围", 1)</f>
        <v>880</v>
      </c>
      <c r="R241" s="18">
        <v>9.99</v>
      </c>
      <c r="S241" s="19">
        <f t="shared" si="2"/>
        <v>6.560249014</v>
      </c>
      <c r="T241" s="20">
        <f t="shared" si="3"/>
        <v>34.79</v>
      </c>
      <c r="U241" s="21">
        <f t="array" ref="U241">XLOOKUP(O241/1000, '运费（橙联）'!$A$2:$A$57, '运费（橙联）'!$B$2:$B$57, "超出范围", 1)</f>
        <v>1227</v>
      </c>
      <c r="V241" s="22">
        <f>(P241*'参数表'!$C$2*(1+'参数表'!$C$3))*$B$1+'参数表'!$C$4</f>
        <v>584.55536</v>
      </c>
      <c r="W241" s="3">
        <v>0.127</v>
      </c>
      <c r="X241" s="4">
        <v>0.0135</v>
      </c>
      <c r="Y241" s="23">
        <f t="shared" si="4"/>
        <v>467.373592</v>
      </c>
      <c r="Z241" s="24">
        <f t="shared" si="5"/>
        <v>0.1327162631</v>
      </c>
      <c r="AA241" s="25">
        <f t="shared" si="6"/>
        <v>0.3595181477</v>
      </c>
      <c r="AB241" s="23">
        <f t="shared" si="7"/>
        <v>657.134793</v>
      </c>
      <c r="AC241" s="24">
        <f t="shared" si="8"/>
        <v>0.1330183906</v>
      </c>
      <c r="AD241" s="25">
        <f t="shared" si="9"/>
        <v>0.5054883023</v>
      </c>
      <c r="AE241" s="26">
        <f>P241*(1-I241)*(1+'参数表'!$C$6)*(W241+X241+H241)*1.1+0.4*1.1</f>
        <v>6.156524</v>
      </c>
      <c r="AF241" s="26">
        <f t="shared" si="10"/>
        <v>8.2499285</v>
      </c>
    </row>
    <row r="242">
      <c r="A242" s="44" t="s">
        <v>771</v>
      </c>
      <c r="C242" s="60" t="s">
        <v>772</v>
      </c>
      <c r="D242" s="2" t="s">
        <v>61</v>
      </c>
      <c r="E242" s="14"/>
      <c r="F242" s="14"/>
      <c r="G242" s="2">
        <v>4.902778309117E12</v>
      </c>
      <c r="H242" s="3">
        <v>0.05</v>
      </c>
      <c r="I242" s="3">
        <v>0.0</v>
      </c>
      <c r="J242" s="15">
        <v>3000.0</v>
      </c>
      <c r="K242" s="16">
        <v>80.0</v>
      </c>
      <c r="L242" s="16">
        <v>14.0</v>
      </c>
      <c r="M242" s="16">
        <v>12.0</v>
      </c>
      <c r="N242" s="16">
        <v>1.0</v>
      </c>
      <c r="O242" s="17">
        <f t="shared" si="13"/>
        <v>80</v>
      </c>
      <c r="P242" s="18">
        <v>46.8</v>
      </c>
      <c r="Q242" s="6">
        <f t="array" ref="Q242">XLOOKUP(K242/1000, '运费（邮政）'!$A$2:$A$21, '运费（邮政）'!$B$2:$B$21, "超出范围", 1)</f>
        <v>880</v>
      </c>
      <c r="R242" s="18">
        <v>15.99</v>
      </c>
      <c r="S242" s="19">
        <f t="shared" si="2"/>
        <v>8.806449014</v>
      </c>
      <c r="T242" s="20">
        <f t="shared" si="3"/>
        <v>62.79</v>
      </c>
      <c r="U242" s="21">
        <f t="array" ref="U242">XLOOKUP(O242/1000, '运费（橙联）'!$A$2:$A$57, '运费（橙联）'!$B$2:$B$57, "超出范围", 1)</f>
        <v>1227</v>
      </c>
      <c r="V242" s="22">
        <f>(P242*'参数表'!$C$2*(1+'参数表'!$C$3))*$B$1+'参数表'!$C$4</f>
        <v>903.51576</v>
      </c>
      <c r="W242" s="3">
        <v>0.127</v>
      </c>
      <c r="X242" s="4">
        <v>0.0135</v>
      </c>
      <c r="Y242" s="23">
        <f t="shared" si="4"/>
        <v>1171.275972</v>
      </c>
      <c r="Z242" s="24">
        <f t="shared" si="5"/>
        <v>0.1762483406</v>
      </c>
      <c r="AA242" s="25">
        <f t="shared" si="6"/>
        <v>0.390425324</v>
      </c>
      <c r="AB242" s="23">
        <f t="shared" si="7"/>
        <v>1715.540173</v>
      </c>
      <c r="AC242" s="24">
        <f t="shared" si="8"/>
        <v>0.1924075302</v>
      </c>
      <c r="AD242" s="25">
        <f t="shared" si="9"/>
        <v>0.5718467243</v>
      </c>
      <c r="AE242" s="26">
        <f>P242*(1-I242)*(1+'参数表'!$C$6)*(W242+X242+H242)*1.1+0.4*1.1</f>
        <v>11.227634</v>
      </c>
      <c r="AF242" s="26">
        <f t="shared" si="10"/>
        <v>14.5783385</v>
      </c>
    </row>
    <row r="243">
      <c r="A243" s="44" t="s">
        <v>773</v>
      </c>
      <c r="C243" s="60" t="s">
        <v>774</v>
      </c>
      <c r="D243" s="2" t="s">
        <v>61</v>
      </c>
      <c r="E243" s="14"/>
      <c r="F243" s="14"/>
      <c r="G243" s="13" t="s">
        <v>775</v>
      </c>
      <c r="H243" s="3">
        <v>0.05</v>
      </c>
      <c r="I243" s="3">
        <v>0.0</v>
      </c>
      <c r="J243" s="15">
        <v>2200.0</v>
      </c>
      <c r="K243" s="16">
        <v>80.0</v>
      </c>
      <c r="L243" s="16">
        <v>14.0</v>
      </c>
      <c r="M243" s="16">
        <v>12.0</v>
      </c>
      <c r="N243" s="16">
        <v>1.0</v>
      </c>
      <c r="O243" s="17">
        <f t="shared" si="13"/>
        <v>80</v>
      </c>
      <c r="P243" s="18">
        <v>37.8</v>
      </c>
      <c r="Q243" s="6">
        <f t="array" ref="Q243">XLOOKUP(K243/1000, '运费（邮政）'!$A$2:$A$21, '运费（邮政）'!$B$2:$B$21, "超出范围", 1)</f>
        <v>880</v>
      </c>
      <c r="R243" s="18">
        <v>12.99</v>
      </c>
      <c r="S243" s="19">
        <f t="shared" si="2"/>
        <v>7.887549014</v>
      </c>
      <c r="T243" s="20">
        <f t="shared" si="3"/>
        <v>50.79</v>
      </c>
      <c r="U243" s="21">
        <f t="array" ref="U243">XLOOKUP(O243/1000, '运费（橙联）'!$A$2:$A$57, '运费（橙联）'!$B$2:$B$57, "超出范围", 1)</f>
        <v>1227</v>
      </c>
      <c r="V243" s="22">
        <f>(P243*'参数表'!$C$2*(1+'参数表'!$C$3))*$B$1+'参数表'!$C$4</f>
        <v>773.03196</v>
      </c>
      <c r="W243" s="3">
        <v>0.127</v>
      </c>
      <c r="X243" s="4">
        <v>0.0135</v>
      </c>
      <c r="Y243" s="23">
        <f t="shared" si="4"/>
        <v>987.861362</v>
      </c>
      <c r="Z243" s="24">
        <f t="shared" si="5"/>
        <v>0.1840415385</v>
      </c>
      <c r="AA243" s="25">
        <f t="shared" si="6"/>
        <v>0.4490278918</v>
      </c>
      <c r="AB243" s="23">
        <f t="shared" si="7"/>
        <v>1325.877663</v>
      </c>
      <c r="AC243" s="24">
        <f t="shared" si="8"/>
        <v>0.1838386816</v>
      </c>
      <c r="AD243" s="25">
        <f t="shared" si="9"/>
        <v>0.602671665</v>
      </c>
      <c r="AE243" s="26">
        <f>P243*(1-I243)*(1+'参数表'!$C$6)*(W243+X243+H243)*1.1+0.4*1.1</f>
        <v>9.153089</v>
      </c>
      <c r="AF243" s="26">
        <f t="shared" si="10"/>
        <v>11.8751435</v>
      </c>
    </row>
    <row r="244">
      <c r="A244" s="44" t="s">
        <v>776</v>
      </c>
      <c r="C244" s="60" t="s">
        <v>777</v>
      </c>
      <c r="D244" s="2" t="s">
        <v>61</v>
      </c>
      <c r="E244" s="14"/>
      <c r="F244" s="14"/>
      <c r="G244" s="13" t="s">
        <v>778</v>
      </c>
      <c r="H244" s="3">
        <v>0.05</v>
      </c>
      <c r="I244" s="3">
        <v>0.0</v>
      </c>
      <c r="J244" s="15">
        <v>3300.0</v>
      </c>
      <c r="K244" s="16">
        <v>80.0</v>
      </c>
      <c r="L244" s="16">
        <v>14.0</v>
      </c>
      <c r="M244" s="16">
        <v>12.0</v>
      </c>
      <c r="N244" s="16">
        <v>1.0</v>
      </c>
      <c r="O244" s="17">
        <f t="shared" si="13"/>
        <v>80</v>
      </c>
      <c r="P244" s="18">
        <v>48.8</v>
      </c>
      <c r="Q244" s="6">
        <f t="array" ref="Q244">XLOOKUP(K244/1000, '运费（邮政）'!$A$2:$A$21, '运费（邮政）'!$B$2:$B$21, "超出范围", 1)</f>
        <v>880</v>
      </c>
      <c r="R244" s="18">
        <v>15.99</v>
      </c>
      <c r="S244" s="19">
        <f t="shared" si="2"/>
        <v>9.010649014</v>
      </c>
      <c r="T244" s="20">
        <f t="shared" si="3"/>
        <v>64.79</v>
      </c>
      <c r="U244" s="21">
        <f t="array" ref="U244">XLOOKUP(O244/1000, '运费（橙联）'!$A$2:$A$57, '运费（橙联）'!$B$2:$B$57, "超出范围", 1)</f>
        <v>1227</v>
      </c>
      <c r="V244" s="22">
        <f>(P244*'参数表'!$C$2*(1+'参数表'!$C$3))*$B$1+'参数表'!$C$4</f>
        <v>932.51216</v>
      </c>
      <c r="W244" s="3">
        <v>0.127</v>
      </c>
      <c r="X244" s="4">
        <v>0.0135</v>
      </c>
      <c r="Y244" s="23">
        <f t="shared" si="4"/>
        <v>1089.812552</v>
      </c>
      <c r="Z244" s="24">
        <f t="shared" si="5"/>
        <v>0.1572691861</v>
      </c>
      <c r="AA244" s="25">
        <f t="shared" si="6"/>
        <v>0.3302462279</v>
      </c>
      <c r="AB244" s="23">
        <f t="shared" si="7"/>
        <v>1605.080353</v>
      </c>
      <c r="AC244" s="24">
        <f t="shared" si="8"/>
        <v>0.1744618424</v>
      </c>
      <c r="AD244" s="25">
        <f t="shared" si="9"/>
        <v>0.4863879858</v>
      </c>
      <c r="AE244" s="26">
        <f>P244*(1-I244)*(1+'参数表'!$C$6)*(W244+X244+H244)*1.1+0.4*1.1</f>
        <v>11.688644</v>
      </c>
      <c r="AF244" s="26">
        <f t="shared" si="10"/>
        <v>15.0393485</v>
      </c>
    </row>
    <row r="245">
      <c r="A245" s="44" t="s">
        <v>779</v>
      </c>
      <c r="C245" s="60" t="s">
        <v>780</v>
      </c>
      <c r="D245" s="2" t="s">
        <v>61</v>
      </c>
      <c r="E245" s="14"/>
      <c r="F245" s="14"/>
      <c r="G245" s="13" t="s">
        <v>781</v>
      </c>
      <c r="H245" s="3">
        <v>0.05</v>
      </c>
      <c r="I245" s="3">
        <v>0.0</v>
      </c>
      <c r="J245" s="15">
        <v>6050.0</v>
      </c>
      <c r="K245" s="16">
        <v>120.0</v>
      </c>
      <c r="L245" s="16">
        <v>14.0</v>
      </c>
      <c r="M245" s="16">
        <v>12.0</v>
      </c>
      <c r="N245" s="16">
        <v>1.0</v>
      </c>
      <c r="O245" s="17">
        <f t="shared" si="13"/>
        <v>120</v>
      </c>
      <c r="P245" s="18">
        <v>86.6</v>
      </c>
      <c r="Q245" s="6">
        <f t="array" ref="Q245">XLOOKUP(K245/1000, '运费（邮政）'!$A$2:$A$21, '运费（邮政）'!$B$2:$B$21, "超出范围", 1)</f>
        <v>1060</v>
      </c>
      <c r="R245" s="18">
        <v>18.99</v>
      </c>
      <c r="S245" s="19">
        <f t="shared" si="2"/>
        <v>12.58833887</v>
      </c>
      <c r="T245" s="20">
        <f t="shared" si="3"/>
        <v>105.59</v>
      </c>
      <c r="U245" s="21">
        <f t="array" ref="U245">XLOOKUP(O245/1000, '运费（橙联）'!$A$2:$A$57, '运费（橙联）'!$B$2:$B$57, "超出范围", 1)</f>
        <v>1367</v>
      </c>
      <c r="V245" s="22">
        <f>(P245*'参数表'!$C$2*(1+'参数表'!$C$3))*$B$1+'参数表'!$C$4</f>
        <v>1480.54412</v>
      </c>
      <c r="W245" s="3">
        <v>0.127</v>
      </c>
      <c r="X245" s="4">
        <v>0.0135</v>
      </c>
      <c r="Y245" s="23">
        <f t="shared" si="4"/>
        <v>2290.153914</v>
      </c>
      <c r="Z245" s="24">
        <f t="shared" si="5"/>
        <v>0.1862337698</v>
      </c>
      <c r="AA245" s="25">
        <f t="shared" si="6"/>
        <v>0.378537837</v>
      </c>
      <c r="AB245" s="23">
        <f t="shared" si="7"/>
        <v>2634.121455</v>
      </c>
      <c r="AC245" s="24">
        <f t="shared" si="8"/>
        <v>0.175680946</v>
      </c>
      <c r="AD245" s="25">
        <f t="shared" si="9"/>
        <v>0.435391976</v>
      </c>
      <c r="AE245" s="26">
        <f>P245*(1-I245)*(1+'参数表'!$C$6)*(W245+X245+H245)*1.1+0.4*1.1</f>
        <v>20.401733</v>
      </c>
      <c r="AF245" s="26">
        <f t="shared" si="10"/>
        <v>24.3810875</v>
      </c>
    </row>
    <row r="246">
      <c r="A246" s="44" t="s">
        <v>782</v>
      </c>
      <c r="B246" s="44" t="s">
        <v>783</v>
      </c>
      <c r="C246" s="60" t="s">
        <v>784</v>
      </c>
      <c r="D246" s="2" t="s">
        <v>61</v>
      </c>
      <c r="E246" s="31"/>
      <c r="F246" s="31" t="s">
        <v>785</v>
      </c>
      <c r="G246" s="13" t="s">
        <v>786</v>
      </c>
      <c r="H246" s="3">
        <v>0.05</v>
      </c>
      <c r="I246" s="3">
        <v>0.0</v>
      </c>
      <c r="J246" s="15">
        <v>1630.0</v>
      </c>
      <c r="K246" s="16">
        <v>120.0</v>
      </c>
      <c r="L246" s="16">
        <v>34.0</v>
      </c>
      <c r="M246" s="16">
        <v>24.0</v>
      </c>
      <c r="N246" s="16">
        <v>2.0</v>
      </c>
      <c r="O246" s="17">
        <f t="shared" si="13"/>
        <v>204</v>
      </c>
      <c r="P246" s="18">
        <v>29.8</v>
      </c>
      <c r="Q246" s="6">
        <f t="array" ref="Q246">XLOOKUP(K246/1000, '运费（邮政）'!$A$2:$A$21, '运费（邮政）'!$B$2:$B$21, "超出范围", 1)</f>
        <v>1060</v>
      </c>
      <c r="R246" s="18">
        <v>12.99</v>
      </c>
      <c r="S246" s="19">
        <f t="shared" si="2"/>
        <v>8.296101127</v>
      </c>
      <c r="T246" s="20">
        <f t="shared" si="3"/>
        <v>42.79</v>
      </c>
      <c r="U246" s="21">
        <f t="array" ref="U246">XLOOKUP(O246/1000, '运费（橙联）'!$A$2:$A$57, '运费（橙联）'!$B$2:$B$57, "超出范围", 1)</f>
        <v>1581</v>
      </c>
      <c r="V246" s="22">
        <f>(P246*'参数表'!$C$2*(1+'参数表'!$C$3))*$B$1+'参数表'!$C$4</f>
        <v>657.04636</v>
      </c>
      <c r="W246" s="3">
        <v>0.127</v>
      </c>
      <c r="X246" s="4">
        <v>0.0135</v>
      </c>
      <c r="Y246" s="23">
        <f t="shared" si="4"/>
        <v>503.715042</v>
      </c>
      <c r="Z246" s="24">
        <f t="shared" si="5"/>
        <v>0.1190365446</v>
      </c>
      <c r="AA246" s="25">
        <f t="shared" si="6"/>
        <v>0.3090276331</v>
      </c>
      <c r="AB246" s="23">
        <f t="shared" si="7"/>
        <v>783.716943</v>
      </c>
      <c r="AC246" s="24">
        <f t="shared" si="8"/>
        <v>0.1289818509</v>
      </c>
      <c r="AD246" s="25">
        <f t="shared" si="9"/>
        <v>0.4808079405</v>
      </c>
      <c r="AE246" s="26">
        <f>P246*(1-I246)*(1+'参数表'!$C$6)*(W246+X246+H246)*1.1+0.4*1.1</f>
        <v>7.309049</v>
      </c>
      <c r="AF246" s="26">
        <f t="shared" si="10"/>
        <v>10.0311035</v>
      </c>
    </row>
    <row r="247">
      <c r="A247" s="44" t="s">
        <v>787</v>
      </c>
      <c r="C247" s="60" t="s">
        <v>788</v>
      </c>
      <c r="D247" s="2" t="s">
        <v>61</v>
      </c>
      <c r="E247" s="14"/>
      <c r="F247" s="14"/>
      <c r="G247" s="13" t="s">
        <v>789</v>
      </c>
      <c r="H247" s="3">
        <v>0.05</v>
      </c>
      <c r="I247" s="3">
        <v>0.0</v>
      </c>
      <c r="J247" s="15">
        <v>11000.0</v>
      </c>
      <c r="K247" s="16">
        <v>1500.0</v>
      </c>
      <c r="L247" s="16">
        <v>34.0</v>
      </c>
      <c r="M247" s="16">
        <v>24.0</v>
      </c>
      <c r="N247" s="16">
        <v>2.0</v>
      </c>
      <c r="O247" s="17">
        <f t="shared" si="13"/>
        <v>1500</v>
      </c>
      <c r="P247" s="18"/>
      <c r="Q247" s="6">
        <f t="array" ref="Q247">XLOOKUP(K247/1000, '运费（邮政）'!$A$2:$A$21, '运费（邮政）'!$B$2:$B$21, "超出范围", 1)</f>
        <v>3400</v>
      </c>
      <c r="R247" s="18"/>
      <c r="S247" s="19">
        <f t="shared" si="2"/>
        <v>5.64084507</v>
      </c>
      <c r="T247" s="20">
        <f t="shared" si="3"/>
        <v>0</v>
      </c>
      <c r="U247" s="21">
        <f t="array" ref="U247">XLOOKUP(O247/1000, '运费（橙联）'!$A$2:$A$57, '运费（橙联）'!$B$2:$B$57, "超出范围", 1)</f>
        <v>3976</v>
      </c>
      <c r="V247" s="22">
        <f>(P247*'参数表'!$C$2*(1+'参数表'!$C$3))*$B$1+'参数表'!$C$4</f>
        <v>225</v>
      </c>
      <c r="W247" s="3">
        <v>0.127</v>
      </c>
      <c r="X247" s="4">
        <v>0.0135</v>
      </c>
      <c r="Y247" s="23">
        <f t="shared" si="4"/>
        <v>-14462.48</v>
      </c>
      <c r="Z247" s="24" t="str">
        <f t="shared" si="5"/>
        <v>#DIV/0!</v>
      </c>
      <c r="AA247" s="25">
        <f t="shared" si="6"/>
        <v>-1.314770909</v>
      </c>
      <c r="AB247" s="23">
        <f t="shared" si="7"/>
        <v>-15263.48</v>
      </c>
      <c r="AC247" s="24" t="str">
        <f t="shared" si="8"/>
        <v>#DIV/0!</v>
      </c>
      <c r="AD247" s="25">
        <f t="shared" si="9"/>
        <v>-1.387589091</v>
      </c>
      <c r="AE247" s="26">
        <f>P247*(1-I247)*(1+'参数表'!$C$6)*(W247+X247+H247)*1.1+0.4*1.1</f>
        <v>0.44</v>
      </c>
      <c r="AF247" s="26">
        <f t="shared" si="10"/>
        <v>0.44</v>
      </c>
    </row>
    <row r="248">
      <c r="A248" s="2" t="s">
        <v>790</v>
      </c>
      <c r="C248" s="60" t="s">
        <v>791</v>
      </c>
      <c r="D248" s="2" t="s">
        <v>61</v>
      </c>
      <c r="E248" s="14"/>
      <c r="F248" s="14"/>
      <c r="G248" s="64"/>
      <c r="H248" s="3">
        <v>0.05</v>
      </c>
      <c r="I248" s="3">
        <v>0.0</v>
      </c>
      <c r="J248" s="15">
        <v>5000.0</v>
      </c>
      <c r="K248" s="16">
        <v>80.0</v>
      </c>
      <c r="L248" s="16">
        <v>34.0</v>
      </c>
      <c r="M248" s="16">
        <v>24.0</v>
      </c>
      <c r="N248" s="16">
        <v>2.0</v>
      </c>
      <c r="O248" s="17">
        <f t="shared" si="13"/>
        <v>204</v>
      </c>
      <c r="P248" s="18">
        <v>68.0</v>
      </c>
      <c r="Q248" s="6">
        <f t="array" ref="Q248">XLOOKUP(K248/1000, '运费（邮政）'!$A$2:$A$21, '运费（邮政）'!$B$2:$B$21, "超出范围", 1)</f>
        <v>880</v>
      </c>
      <c r="R248" s="18">
        <v>20.0</v>
      </c>
      <c r="S248" s="19">
        <f t="shared" si="2"/>
        <v>13.46392676</v>
      </c>
      <c r="T248" s="20">
        <f t="shared" si="3"/>
        <v>88</v>
      </c>
      <c r="U248" s="21">
        <f t="array" ref="U248">XLOOKUP(O248/1000, '运费（橙联）'!$A$2:$A$57, '运费（橙联）'!$B$2:$B$57, "超出范围", 1)</f>
        <v>1581</v>
      </c>
      <c r="V248" s="22">
        <f>(P248*'参数表'!$C$2*(1+'参数表'!$C$3))*$B$1+'参数表'!$C$4</f>
        <v>1210.8776</v>
      </c>
      <c r="W248" s="3">
        <v>0.127</v>
      </c>
      <c r="X248" s="4">
        <v>0.0135</v>
      </c>
      <c r="Y248" s="23">
        <f t="shared" si="4"/>
        <v>1487.76372</v>
      </c>
      <c r="Z248" s="24">
        <f t="shared" si="5"/>
        <v>0.1540766073</v>
      </c>
      <c r="AA248" s="25">
        <f t="shared" si="6"/>
        <v>0.297552744</v>
      </c>
      <c r="AB248" s="23">
        <f t="shared" si="7"/>
        <v>1820.76412</v>
      </c>
      <c r="AC248" s="24">
        <f t="shared" si="8"/>
        <v>0.1457077561</v>
      </c>
      <c r="AD248" s="25">
        <f t="shared" si="9"/>
        <v>0.364152824</v>
      </c>
      <c r="AE248" s="26">
        <f>P248*(1-I248)*(1+'参数表'!$C$6)*(W248+X248+H248)*1.1+0.4*1.1</f>
        <v>16.11434</v>
      </c>
      <c r="AF248" s="26">
        <f t="shared" si="10"/>
        <v>20.30534</v>
      </c>
    </row>
    <row r="249">
      <c r="A249" s="2" t="s">
        <v>792</v>
      </c>
      <c r="B249" s="2" t="s">
        <v>793</v>
      </c>
      <c r="C249" s="60" t="s">
        <v>794</v>
      </c>
      <c r="D249" s="2" t="s">
        <v>61</v>
      </c>
      <c r="E249" s="14"/>
      <c r="F249" s="14"/>
      <c r="G249" s="32"/>
      <c r="H249" s="3">
        <v>0.05</v>
      </c>
      <c r="I249" s="3">
        <v>0.0</v>
      </c>
      <c r="J249" s="15">
        <v>330.0</v>
      </c>
      <c r="K249" s="16">
        <v>80.0</v>
      </c>
      <c r="L249" s="16">
        <v>34.0</v>
      </c>
      <c r="M249" s="16">
        <v>24.0</v>
      </c>
      <c r="N249" s="16">
        <v>2.0</v>
      </c>
      <c r="O249" s="17">
        <f t="shared" si="13"/>
        <v>204</v>
      </c>
      <c r="P249" s="18">
        <v>15.0</v>
      </c>
      <c r="Q249" s="6">
        <f t="array" ref="Q249">XLOOKUP(K249/1000, '运费（邮政）'!$A$2:$A$21, '运费（邮政）'!$B$2:$B$21, "超出范围", 1)</f>
        <v>880</v>
      </c>
      <c r="R249" s="18">
        <v>12.99</v>
      </c>
      <c r="S249" s="19">
        <f t="shared" si="2"/>
        <v>8.052626761</v>
      </c>
      <c r="T249" s="20">
        <f t="shared" si="3"/>
        <v>27.99</v>
      </c>
      <c r="U249" s="21">
        <f t="array" ref="U249">XLOOKUP(O249/1000, '运费（橙联）'!$A$2:$A$57, '运费（橙联）'!$B$2:$B$57, "超出范围", 1)</f>
        <v>1581</v>
      </c>
      <c r="V249" s="22">
        <f>(P249*'参数表'!$C$2*(1+'参数表'!$C$3))*$B$1+'参数表'!$C$4</f>
        <v>442.473</v>
      </c>
      <c r="W249" s="3">
        <v>0.127</v>
      </c>
      <c r="X249" s="4">
        <v>0.0135</v>
      </c>
      <c r="Y249" s="23">
        <f t="shared" si="4"/>
        <v>366.54435</v>
      </c>
      <c r="Z249" s="24">
        <f t="shared" si="5"/>
        <v>0.1720865493</v>
      </c>
      <c r="AA249" s="25">
        <f t="shared" si="6"/>
        <v>1.110740455</v>
      </c>
      <c r="AB249" s="23">
        <f t="shared" si="7"/>
        <v>681.119611</v>
      </c>
      <c r="AC249" s="24">
        <f t="shared" si="8"/>
        <v>0.1713689524</v>
      </c>
      <c r="AD249" s="25">
        <f t="shared" si="9"/>
        <v>2.063998821</v>
      </c>
      <c r="AE249" s="26">
        <f>P249*(1-I249)*(1+'参数表'!$C$6)*(W249+X249+H249)*1.1+0.4*1.1</f>
        <v>3.897575</v>
      </c>
      <c r="AF249" s="26">
        <f t="shared" si="10"/>
        <v>6.6196295</v>
      </c>
    </row>
    <row r="250">
      <c r="A250" s="2" t="s">
        <v>795</v>
      </c>
      <c r="C250" s="60" t="s">
        <v>796</v>
      </c>
      <c r="E250" s="14"/>
      <c r="F250" s="14"/>
      <c r="G250" s="32"/>
      <c r="H250" s="3">
        <v>0.05</v>
      </c>
      <c r="I250" s="3">
        <v>0.0</v>
      </c>
      <c r="J250" s="15">
        <v>22000.0</v>
      </c>
      <c r="K250" s="16">
        <v>210.0</v>
      </c>
      <c r="L250" s="16">
        <v>34.0</v>
      </c>
      <c r="M250" s="16">
        <v>24.0</v>
      </c>
      <c r="N250" s="16">
        <v>2.0</v>
      </c>
      <c r="O250" s="17">
        <f t="shared" si="13"/>
        <v>210</v>
      </c>
      <c r="P250" s="18">
        <v>258.0</v>
      </c>
      <c r="Q250" s="6">
        <f t="array" ref="Q250">XLOOKUP(K250/1000, '运费（邮政）'!$A$2:$A$21, '运费（邮政）'!$B$2:$B$21, "超出范围", 1)</f>
        <v>1240</v>
      </c>
      <c r="R250" s="18">
        <v>50.0</v>
      </c>
      <c r="S250" s="19">
        <f t="shared" si="2"/>
        <v>30.32771549</v>
      </c>
      <c r="T250" s="20">
        <f t="shared" si="3"/>
        <v>308</v>
      </c>
      <c r="U250" s="21">
        <f t="array" ref="U250">XLOOKUP(O250/1000, '运费（橙联）'!$A$2:$A$57, '运费（橙联）'!$B$2:$B$57, "超出范围", 1)</f>
        <v>1581</v>
      </c>
      <c r="V250" s="22">
        <f>(P250*'参数表'!$C$2*(1+'参数表'!$C$3))*$B$1+'参数表'!$C$4</f>
        <v>3965.5356</v>
      </c>
      <c r="W250" s="3">
        <v>0.127</v>
      </c>
      <c r="X250" s="4">
        <v>0.0135</v>
      </c>
      <c r="Y250" s="23">
        <f t="shared" si="4"/>
        <v>4888.73882</v>
      </c>
      <c r="Z250" s="24">
        <f t="shared" si="5"/>
        <v>0.1334408456</v>
      </c>
      <c r="AA250" s="25">
        <f t="shared" si="6"/>
        <v>0.2222154009</v>
      </c>
      <c r="AB250" s="23">
        <f t="shared" si="7"/>
        <v>6194.39822</v>
      </c>
      <c r="AC250" s="24">
        <f t="shared" si="8"/>
        <v>0.1416315671</v>
      </c>
      <c r="AD250" s="25">
        <f t="shared" si="9"/>
        <v>0.2815635555</v>
      </c>
      <c r="AE250" s="26">
        <f>P250*(1-I250)*(1+'参数表'!$C$6)*(W250+X250+H250)*1.1+0.4*1.1</f>
        <v>59.91029</v>
      </c>
      <c r="AF250" s="26">
        <f t="shared" si="10"/>
        <v>70.38779</v>
      </c>
    </row>
    <row r="251">
      <c r="A251" s="2" t="s">
        <v>797</v>
      </c>
      <c r="C251" s="60" t="s">
        <v>798</v>
      </c>
      <c r="E251" s="14"/>
      <c r="F251" s="14"/>
      <c r="G251" s="32"/>
      <c r="H251" s="3">
        <v>0.05</v>
      </c>
      <c r="I251" s="3">
        <v>0.0</v>
      </c>
      <c r="J251" s="15">
        <v>5000.0</v>
      </c>
      <c r="K251" s="16">
        <v>80.0</v>
      </c>
      <c r="L251" s="16">
        <v>25.0</v>
      </c>
      <c r="M251" s="16">
        <v>19.0</v>
      </c>
      <c r="N251" s="16">
        <v>1.5</v>
      </c>
      <c r="O251" s="17">
        <f t="shared" si="13"/>
        <v>89.0625</v>
      </c>
      <c r="P251" s="18">
        <v>68.0</v>
      </c>
      <c r="Q251" s="6">
        <f t="array" ref="Q251">XLOOKUP(K251/1000, '运费（邮政）'!$A$2:$A$21, '运费（邮政）'!$B$2:$B$21, "超出范围", 1)</f>
        <v>880</v>
      </c>
      <c r="R251" s="18">
        <v>20.0</v>
      </c>
      <c r="S251" s="19">
        <f t="shared" si="2"/>
        <v>10.97096901</v>
      </c>
      <c r="T251" s="20">
        <f t="shared" si="3"/>
        <v>88</v>
      </c>
      <c r="U251" s="21">
        <f t="array" ref="U251">XLOOKUP(O251/1000, '运费（橙联）'!$A$2:$A$57, '运费（橙联）'!$B$2:$B$57, "超出范围", 1)</f>
        <v>1227</v>
      </c>
      <c r="V251" s="22">
        <f>(P251*'参数表'!$C$2*(1+'参数表'!$C$3))*$B$1+'参数表'!$C$4</f>
        <v>1210.8776</v>
      </c>
      <c r="W251" s="3">
        <v>0.127</v>
      </c>
      <c r="X251" s="4">
        <v>0.0135</v>
      </c>
      <c r="Y251" s="23">
        <f t="shared" si="4"/>
        <v>1487.76372</v>
      </c>
      <c r="Z251" s="24">
        <f t="shared" si="5"/>
        <v>0.1540766073</v>
      </c>
      <c r="AA251" s="25">
        <f t="shared" si="6"/>
        <v>0.297552744</v>
      </c>
      <c r="AB251" s="23">
        <f t="shared" si="7"/>
        <v>2174.76412</v>
      </c>
      <c r="AC251" s="24">
        <f t="shared" si="8"/>
        <v>0.1740368214</v>
      </c>
      <c r="AD251" s="25">
        <f t="shared" si="9"/>
        <v>0.434952824</v>
      </c>
      <c r="AE251" s="26">
        <f>P251*(1-I251)*(1+'参数表'!$C$6)*(W251+X251+H251)*1.1+0.4*1.1</f>
        <v>16.11434</v>
      </c>
      <c r="AF251" s="26">
        <f t="shared" si="10"/>
        <v>20.30534</v>
      </c>
    </row>
    <row r="252">
      <c r="A252" s="2" t="s">
        <v>799</v>
      </c>
      <c r="C252" s="60" t="s">
        <v>800</v>
      </c>
      <c r="E252" s="14"/>
      <c r="F252" s="14"/>
      <c r="G252" s="32"/>
      <c r="H252" s="3">
        <v>0.05</v>
      </c>
      <c r="I252" s="3">
        <v>0.0</v>
      </c>
      <c r="J252" s="15">
        <v>50000.0</v>
      </c>
      <c r="K252" s="16">
        <v>210.0</v>
      </c>
      <c r="L252" s="16">
        <v>34.0</v>
      </c>
      <c r="M252" s="16">
        <v>24.0</v>
      </c>
      <c r="N252" s="16">
        <v>2.0</v>
      </c>
      <c r="O252" s="17">
        <f t="shared" si="13"/>
        <v>210</v>
      </c>
      <c r="P252" s="18">
        <v>568.0</v>
      </c>
      <c r="Q252" s="6">
        <f t="array" ref="Q252">XLOOKUP(K252/1000, '运费（邮政）'!$A$2:$A$21, '运费（邮政）'!$B$2:$B$21, "超出范围", 1)</f>
        <v>1240</v>
      </c>
      <c r="R252" s="18">
        <v>100.0</v>
      </c>
      <c r="S252" s="19">
        <f t="shared" si="2"/>
        <v>61.97871549</v>
      </c>
      <c r="T252" s="20">
        <f t="shared" si="3"/>
        <v>668</v>
      </c>
      <c r="U252" s="21">
        <f t="array" ref="U252">XLOOKUP(O252/1000, '运费（橙联）'!$A$2:$A$57, '运费（橙联）'!$B$2:$B$57, "超出范围", 1)</f>
        <v>1581</v>
      </c>
      <c r="V252" s="22">
        <f>(P252*'参数表'!$C$2*(1+'参数表'!$C$3))*$B$1+'参数表'!$C$4</f>
        <v>8459.9776</v>
      </c>
      <c r="W252" s="3">
        <v>0.127</v>
      </c>
      <c r="X252" s="4">
        <v>0.0135</v>
      </c>
      <c r="Y252" s="23">
        <f t="shared" si="4"/>
        <v>10761.90872</v>
      </c>
      <c r="Z252" s="24">
        <f t="shared" si="5"/>
        <v>0.1334297352</v>
      </c>
      <c r="AA252" s="25">
        <f t="shared" si="6"/>
        <v>0.2152381744</v>
      </c>
      <c r="AB252" s="23">
        <f t="shared" si="7"/>
        <v>13185.32112</v>
      </c>
      <c r="AC252" s="24">
        <f t="shared" si="8"/>
        <v>0.139003554</v>
      </c>
      <c r="AD252" s="25">
        <f t="shared" si="9"/>
        <v>0.2637064224</v>
      </c>
      <c r="AE252" s="26">
        <f>P252*(1-I252)*(1+'参数表'!$C$6)*(W252+X252+H252)*1.1+0.4*1.1</f>
        <v>131.36684</v>
      </c>
      <c r="AF252" s="26">
        <f t="shared" si="10"/>
        <v>152.32184</v>
      </c>
    </row>
    <row r="253">
      <c r="A253" s="44" t="s">
        <v>801</v>
      </c>
      <c r="B253" s="44" t="s">
        <v>802</v>
      </c>
      <c r="C253" s="60" t="s">
        <v>803</v>
      </c>
      <c r="E253" s="14"/>
      <c r="F253" s="14"/>
      <c r="G253" s="13" t="s">
        <v>804</v>
      </c>
      <c r="H253" s="3">
        <v>0.05</v>
      </c>
      <c r="I253" s="3">
        <v>0.0</v>
      </c>
      <c r="J253" s="15">
        <v>2970.0</v>
      </c>
      <c r="K253" s="16">
        <v>210.0</v>
      </c>
      <c r="L253" s="16">
        <v>15.0</v>
      </c>
      <c r="M253" s="16">
        <v>14.0</v>
      </c>
      <c r="N253" s="16">
        <v>14.0</v>
      </c>
      <c r="O253" s="17">
        <f t="shared" si="13"/>
        <v>367.5</v>
      </c>
      <c r="P253" s="18">
        <v>47.8</v>
      </c>
      <c r="Q253" s="6">
        <f t="array" ref="Q253">XLOOKUP(K253/1000, '运费（邮政）'!$A$2:$A$21, '运费（邮政）'!$B$2:$B$21, "超出范围", 1)</f>
        <v>1240</v>
      </c>
      <c r="R253" s="18">
        <v>18.0</v>
      </c>
      <c r="S253" s="19">
        <f t="shared" si="2"/>
        <v>10.25361944</v>
      </c>
      <c r="T253" s="20">
        <f t="shared" si="3"/>
        <v>65.8</v>
      </c>
      <c r="U253" s="21">
        <f t="array" ref="U253">XLOOKUP(O253/1000, '运费（橙联）'!$A$2:$A$57, '运费（橙联）'!$B$2:$B$57, "超出范围", 1)</f>
        <v>1778</v>
      </c>
      <c r="V253" s="22">
        <f>(P253*'参数表'!$C$2*(1+'参数表'!$C$3))*$B$1+'参数表'!$C$4</f>
        <v>918.01396</v>
      </c>
      <c r="W253" s="3">
        <v>0.127</v>
      </c>
      <c r="X253" s="4">
        <v>0.0135</v>
      </c>
      <c r="Y253" s="23">
        <f t="shared" si="4"/>
        <v>950.544262</v>
      </c>
      <c r="Z253" s="24">
        <f t="shared" si="5"/>
        <v>0.1400412903</v>
      </c>
      <c r="AA253" s="25">
        <f t="shared" si="6"/>
        <v>0.3200485731</v>
      </c>
      <c r="AB253" s="23">
        <f t="shared" si="7"/>
        <v>1514.920502</v>
      </c>
      <c r="AC253" s="24">
        <f t="shared" si="8"/>
        <v>0.1621345629</v>
      </c>
      <c r="AD253" s="25">
        <f t="shared" si="9"/>
        <v>0.5100742431</v>
      </c>
      <c r="AE253" s="26">
        <f>P253*(1-I253)*(1+'参数表'!$C$6)*(W253+X253+H253)*1.1+0.4*1.1</f>
        <v>11.458139</v>
      </c>
      <c r="AF253" s="26">
        <f t="shared" si="10"/>
        <v>15.230039</v>
      </c>
    </row>
    <row r="254">
      <c r="B254" s="44" t="s">
        <v>805</v>
      </c>
      <c r="C254" s="60" t="s">
        <v>806</v>
      </c>
      <c r="E254" s="14"/>
      <c r="F254" s="14"/>
      <c r="G254" s="32"/>
      <c r="H254" s="3">
        <v>0.05</v>
      </c>
      <c r="I254" s="3">
        <v>0.0</v>
      </c>
      <c r="J254" s="15"/>
      <c r="K254" s="16"/>
      <c r="L254" s="16">
        <v>34.0</v>
      </c>
      <c r="M254" s="16">
        <v>24.0</v>
      </c>
      <c r="N254" s="16">
        <v>2.0</v>
      </c>
      <c r="O254" s="17">
        <f t="shared" si="13"/>
        <v>204</v>
      </c>
      <c r="P254" s="18"/>
      <c r="Q254" s="6">
        <f t="array" ref="Q254">XLOOKUP(K254/1000, '运费（邮政）'!$A$2:$A$21, '运费（邮政）'!$B$2:$B$21, "超出范围", 1)</f>
        <v>880</v>
      </c>
      <c r="R254" s="18"/>
      <c r="S254" s="19">
        <f t="shared" si="2"/>
        <v>6.521126761</v>
      </c>
      <c r="T254" s="20">
        <f t="shared" si="3"/>
        <v>0</v>
      </c>
      <c r="U254" s="21">
        <f t="array" ref="U254">XLOOKUP(O254/1000, '运费（橙联）'!$A$2:$A$57, '运费（橙联）'!$B$2:$B$57, "超出范围", 1)</f>
        <v>1581</v>
      </c>
      <c r="V254" s="22">
        <f>(P254*'参数表'!$C$2*(1+'参数表'!$C$3))*$B$1+'参数表'!$C$4</f>
        <v>225</v>
      </c>
      <c r="W254" s="3">
        <v>0.127</v>
      </c>
      <c r="X254" s="4">
        <v>0.0135</v>
      </c>
      <c r="Y254" s="23">
        <f t="shared" si="4"/>
        <v>-942.48</v>
      </c>
      <c r="Z254" s="24" t="str">
        <f t="shared" si="5"/>
        <v>#DIV/0!</v>
      </c>
      <c r="AA254" s="25" t="str">
        <f t="shared" si="6"/>
        <v>#DIV/0!</v>
      </c>
      <c r="AB254" s="23">
        <f t="shared" si="7"/>
        <v>-1868.48</v>
      </c>
      <c r="AC254" s="24" t="str">
        <f t="shared" si="8"/>
        <v>#DIV/0!</v>
      </c>
      <c r="AD254" s="25" t="str">
        <f t="shared" si="9"/>
        <v>#DIV/0!</v>
      </c>
      <c r="AE254" s="26">
        <f>P254*(1-I254)*(1+'参数表'!$C$6)*(W254+X254+H254)*1.1+0.4*1.1</f>
        <v>0.44</v>
      </c>
      <c r="AF254" s="26">
        <f t="shared" si="10"/>
        <v>0.44</v>
      </c>
    </row>
    <row r="255">
      <c r="B255" s="54" t="s">
        <v>807</v>
      </c>
      <c r="C255" s="60" t="s">
        <v>808</v>
      </c>
      <c r="E255" s="14"/>
      <c r="F255" s="14"/>
      <c r="G255" s="13"/>
      <c r="H255" s="3">
        <v>0.05</v>
      </c>
      <c r="I255" s="3">
        <v>0.0</v>
      </c>
      <c r="J255" s="15">
        <v>3500.0</v>
      </c>
      <c r="K255" s="16">
        <v>400.0</v>
      </c>
      <c r="L255" s="16">
        <v>34.0</v>
      </c>
      <c r="M255" s="16">
        <v>24.0</v>
      </c>
      <c r="N255" s="16">
        <v>2.0</v>
      </c>
      <c r="O255" s="17">
        <f t="shared" si="13"/>
        <v>400</v>
      </c>
      <c r="P255" s="18">
        <v>54.8</v>
      </c>
      <c r="Q255" s="6">
        <f t="array" ref="Q255">XLOOKUP(K255/1000, '运费（邮政）'!$A$2:$A$21, '运费（邮政）'!$B$2:$B$21, "超出范围", 1)</f>
        <v>1420</v>
      </c>
      <c r="R255" s="18">
        <v>18.0</v>
      </c>
      <c r="S255" s="19">
        <f t="shared" si="2"/>
        <v>9.700713803</v>
      </c>
      <c r="T255" s="20">
        <f t="shared" si="3"/>
        <v>72.8</v>
      </c>
      <c r="U255" s="21">
        <f t="array" ref="U255">XLOOKUP(O255/1000, '运费（橙联）'!$A$2:$A$57, '运费（橙联）'!$B$2:$B$57, "超出范围", 1)</f>
        <v>1778</v>
      </c>
      <c r="V255" s="22">
        <f>(P255*'参数表'!$C$2*(1+'参数表'!$C$3))*$B$1+'参数表'!$C$4</f>
        <v>1019.50136</v>
      </c>
      <c r="W255" s="3">
        <v>0.153</v>
      </c>
      <c r="X255" s="4">
        <v>0.0135</v>
      </c>
      <c r="Y255" s="23">
        <f t="shared" si="4"/>
        <v>760.613156</v>
      </c>
      <c r="Z255" s="24">
        <f t="shared" si="5"/>
        <v>0.09774508533</v>
      </c>
      <c r="AA255" s="25">
        <f t="shared" si="6"/>
        <v>0.2173180446</v>
      </c>
      <c r="AB255" s="23">
        <f t="shared" si="7"/>
        <v>1330.400396</v>
      </c>
      <c r="AC255" s="24">
        <f t="shared" si="8"/>
        <v>0.1286952867</v>
      </c>
      <c r="AD255" s="25">
        <f t="shared" si="9"/>
        <v>0.3801143989</v>
      </c>
      <c r="AE255" s="26">
        <f>P255*(1-I255)*(1+'参数表'!$C$6)*(W255+X255+H255)*1.1+0.4*1.1</f>
        <v>14.795682</v>
      </c>
      <c r="AF255" s="26">
        <f t="shared" si="10"/>
        <v>19.082382</v>
      </c>
    </row>
    <row r="256">
      <c r="A256" s="44" t="s">
        <v>809</v>
      </c>
      <c r="B256" s="44" t="s">
        <v>810</v>
      </c>
      <c r="C256" s="60" t="s">
        <v>811</v>
      </c>
      <c r="D256" s="2" t="s">
        <v>61</v>
      </c>
      <c r="E256" s="31"/>
      <c r="F256" s="31" t="s">
        <v>812</v>
      </c>
      <c r="G256" s="13" t="s">
        <v>813</v>
      </c>
      <c r="H256" s="3">
        <v>0.05</v>
      </c>
      <c r="I256" s="3">
        <v>0.0</v>
      </c>
      <c r="J256" s="15">
        <v>1660.0</v>
      </c>
      <c r="K256" s="16">
        <v>80.0</v>
      </c>
      <c r="L256" s="16">
        <v>14.0</v>
      </c>
      <c r="M256" s="16">
        <v>24.0</v>
      </c>
      <c r="N256" s="16">
        <v>1.0</v>
      </c>
      <c r="O256" s="17">
        <f t="shared" si="13"/>
        <v>80</v>
      </c>
      <c r="P256" s="18">
        <v>29.8</v>
      </c>
      <c r="Q256" s="6">
        <f t="array" ref="Q256">XLOOKUP(K256/1000, '运费（邮政）'!$A$2:$A$21, '运费（邮政）'!$B$2:$B$21, "超出范围", 1)</f>
        <v>880</v>
      </c>
      <c r="R256" s="18">
        <v>9.99</v>
      </c>
      <c r="S256" s="19">
        <f t="shared" si="2"/>
        <v>7.070749014</v>
      </c>
      <c r="T256" s="20">
        <f t="shared" si="3"/>
        <v>39.79</v>
      </c>
      <c r="U256" s="21">
        <f t="array" ref="U256">XLOOKUP(O256/1000, '运费（橙联）'!$A$2:$A$57, '运费（橙联）'!$B$2:$B$57, "超出范围", 1)</f>
        <v>1227</v>
      </c>
      <c r="V256" s="22">
        <f>(P256*'参数表'!$C$2*(1+'参数表'!$C$3))*$B$1+'参数表'!$C$4</f>
        <v>657.04636</v>
      </c>
      <c r="W256" s="3">
        <v>0.127</v>
      </c>
      <c r="X256" s="4">
        <v>0.0135</v>
      </c>
      <c r="Y256" s="23">
        <f t="shared" si="4"/>
        <v>653.715042</v>
      </c>
      <c r="Z256" s="24">
        <f t="shared" si="5"/>
        <v>0.1544841294</v>
      </c>
      <c r="AA256" s="25">
        <f t="shared" si="6"/>
        <v>0.3938042422</v>
      </c>
      <c r="AB256" s="23">
        <f t="shared" si="7"/>
        <v>770.985243</v>
      </c>
      <c r="AC256" s="24">
        <f t="shared" si="8"/>
        <v>0.136453218</v>
      </c>
      <c r="AD256" s="25">
        <f t="shared" si="9"/>
        <v>0.4644489416</v>
      </c>
      <c r="AE256" s="26">
        <f>P256*(1-I256)*(1+'参数表'!$C$6)*(W256+X256+H256)*1.1+0.4*1.1</f>
        <v>7.309049</v>
      </c>
      <c r="AF256" s="26">
        <f t="shared" si="10"/>
        <v>9.4024535</v>
      </c>
    </row>
    <row r="257">
      <c r="A257" s="44" t="s">
        <v>814</v>
      </c>
      <c r="C257" s="60" t="s">
        <v>815</v>
      </c>
      <c r="D257" s="2" t="s">
        <v>61</v>
      </c>
      <c r="E257" s="31"/>
      <c r="F257" s="31" t="s">
        <v>720</v>
      </c>
      <c r="G257" s="57" t="s">
        <v>816</v>
      </c>
      <c r="H257" s="3">
        <v>0.05</v>
      </c>
      <c r="I257" s="3">
        <v>0.0</v>
      </c>
      <c r="J257" s="15">
        <v>1600.0</v>
      </c>
      <c r="K257" s="16">
        <v>80.0</v>
      </c>
      <c r="L257" s="16">
        <v>14.0</v>
      </c>
      <c r="M257" s="16">
        <v>24.0</v>
      </c>
      <c r="N257" s="16">
        <v>1.0</v>
      </c>
      <c r="O257" s="17">
        <f t="shared" si="13"/>
        <v>80</v>
      </c>
      <c r="P257" s="18">
        <v>28.8</v>
      </c>
      <c r="Q257" s="6">
        <f t="array" ref="Q257">XLOOKUP(K257/1000, '运费（邮政）'!$A$2:$A$21, '运费（邮政）'!$B$2:$B$21, "超出范围", 1)</f>
        <v>880</v>
      </c>
      <c r="R257" s="18">
        <v>9.99</v>
      </c>
      <c r="S257" s="19">
        <f t="shared" si="2"/>
        <v>6.968649014</v>
      </c>
      <c r="T257" s="20">
        <f t="shared" si="3"/>
        <v>38.79</v>
      </c>
      <c r="U257" s="21">
        <f t="array" ref="U257">XLOOKUP(O257/1000, '运费（橙联）'!$A$2:$A$57, '运费（橙联）'!$B$2:$B$57, "超出范围", 1)</f>
        <v>1227</v>
      </c>
      <c r="V257" s="22">
        <f>(P257*'参数表'!$C$2*(1+'参数表'!$C$3))*$B$1+'参数表'!$C$4</f>
        <v>642.54816</v>
      </c>
      <c r="W257" s="3">
        <v>0.127</v>
      </c>
      <c r="X257" s="4">
        <v>0.0135</v>
      </c>
      <c r="Y257" s="23">
        <f t="shared" si="4"/>
        <v>604.446752</v>
      </c>
      <c r="Z257" s="24">
        <f t="shared" si="5"/>
        <v>0.1478009468</v>
      </c>
      <c r="AA257" s="25">
        <f t="shared" si="6"/>
        <v>0.37777922</v>
      </c>
      <c r="AB257" s="23">
        <f t="shared" si="7"/>
        <v>736.215153</v>
      </c>
      <c r="AC257" s="24">
        <f t="shared" si="8"/>
        <v>0.1336585139</v>
      </c>
      <c r="AD257" s="25">
        <f t="shared" si="9"/>
        <v>0.4601344706</v>
      </c>
      <c r="AE257" s="26">
        <f>P257*(1-I257)*(1+'参数表'!$C$6)*(W257+X257+H257)*1.1+0.4*1.1</f>
        <v>7.078544</v>
      </c>
      <c r="AF257" s="26">
        <f t="shared" si="10"/>
        <v>9.1719485</v>
      </c>
    </row>
    <row r="258">
      <c r="C258" s="60" t="s">
        <v>817</v>
      </c>
      <c r="E258" s="14"/>
      <c r="F258" s="14"/>
      <c r="G258" s="32"/>
      <c r="H258" s="3">
        <v>0.05</v>
      </c>
      <c r="I258" s="3">
        <v>0.0</v>
      </c>
      <c r="J258" s="15">
        <v>11000.0</v>
      </c>
      <c r="K258" s="16">
        <v>500.0</v>
      </c>
      <c r="L258" s="16">
        <v>34.0</v>
      </c>
      <c r="M258" s="16">
        <v>24.0</v>
      </c>
      <c r="N258" s="16">
        <v>2.0</v>
      </c>
      <c r="O258" s="17">
        <f t="shared" si="13"/>
        <v>500</v>
      </c>
      <c r="P258" s="18">
        <v>89.0</v>
      </c>
      <c r="Q258" s="6">
        <f t="array" ref="Q258">XLOOKUP(K258/1000, '运费（邮政）'!$A$2:$A$21, '运费（邮政）'!$B$2:$B$21, "超出范围", 1)</f>
        <v>1600</v>
      </c>
      <c r="R258" s="18"/>
      <c r="S258" s="19">
        <f t="shared" si="2"/>
        <v>13.91084366</v>
      </c>
      <c r="T258" s="20">
        <f t="shared" si="3"/>
        <v>89</v>
      </c>
      <c r="U258" s="21">
        <f t="array" ref="U258">XLOOKUP(O258/1000, '运费（橙联）'!$A$2:$A$57, '运费（橙联）'!$B$2:$B$57, "超出范围", 1)</f>
        <v>2060</v>
      </c>
      <c r="V258" s="22">
        <f>(P258*'参数表'!$C$2*(1+'参数表'!$C$3))*$B$1+'参数表'!$C$4</f>
        <v>1515.3398</v>
      </c>
      <c r="W258" s="3">
        <v>0.127</v>
      </c>
      <c r="X258" s="4">
        <v>0.0135</v>
      </c>
      <c r="Y258" s="23">
        <f t="shared" si="4"/>
        <v>-2937.60219</v>
      </c>
      <c r="Z258" s="24">
        <f t="shared" si="5"/>
        <v>-0.2324420154</v>
      </c>
      <c r="AA258" s="25">
        <f t="shared" si="6"/>
        <v>-0.2670547445</v>
      </c>
      <c r="AB258" s="23">
        <f t="shared" si="7"/>
        <v>-4912.94199</v>
      </c>
      <c r="AC258" s="24">
        <f t="shared" si="8"/>
        <v>-0.3887436295</v>
      </c>
      <c r="AD258" s="25">
        <f t="shared" si="9"/>
        <v>-0.44663109</v>
      </c>
      <c r="AE258" s="26">
        <f>P258*(1-I258)*(1+'参数表'!$C$6)*(W258+X258+H258)*1.1+0.4*1.1</f>
        <v>20.954945</v>
      </c>
      <c r="AF258" s="26">
        <f t="shared" si="10"/>
        <v>20.954945</v>
      </c>
    </row>
    <row r="259">
      <c r="A259" s="44" t="s">
        <v>818</v>
      </c>
      <c r="C259" s="60" t="s">
        <v>819</v>
      </c>
      <c r="D259" s="2" t="s">
        <v>61</v>
      </c>
      <c r="E259" s="14"/>
      <c r="F259" s="14"/>
      <c r="G259" s="57" t="s">
        <v>820</v>
      </c>
      <c r="H259" s="3">
        <v>0.05</v>
      </c>
      <c r="I259" s="3">
        <v>0.0</v>
      </c>
      <c r="J259" s="15">
        <v>1320.0</v>
      </c>
      <c r="K259" s="16">
        <v>60.0</v>
      </c>
      <c r="L259" s="16">
        <v>14.0</v>
      </c>
      <c r="M259" s="16">
        <v>24.0</v>
      </c>
      <c r="N259" s="16">
        <v>1.0</v>
      </c>
      <c r="O259" s="17">
        <f t="shared" si="13"/>
        <v>60</v>
      </c>
      <c r="P259" s="18">
        <v>24.8</v>
      </c>
      <c r="Q259" s="6">
        <f t="array" ref="Q259">XLOOKUP(K259/1000, '运费（邮政）'!$A$2:$A$21, '运费（邮政）'!$B$2:$B$21, "超出范围", 1)</f>
        <v>880</v>
      </c>
      <c r="R259" s="18">
        <v>9.99</v>
      </c>
      <c r="S259" s="19">
        <f t="shared" si="2"/>
        <v>6.560249014</v>
      </c>
      <c r="T259" s="20">
        <f t="shared" si="3"/>
        <v>34.79</v>
      </c>
      <c r="U259" s="21">
        <f t="array" ref="U259">XLOOKUP(O259/1000, '运费（橙联）'!$A$2:$A$57, '运费（橙联）'!$B$2:$B$57, "超出范围", 1)</f>
        <v>1227</v>
      </c>
      <c r="V259" s="22">
        <f>(P259*'参数表'!$C$2*(1+'参数表'!$C$3))*$B$1+'参数表'!$C$4</f>
        <v>584.55536</v>
      </c>
      <c r="W259" s="3">
        <v>0.127</v>
      </c>
      <c r="X259" s="4">
        <v>0.0135</v>
      </c>
      <c r="Y259" s="23">
        <f t="shared" si="4"/>
        <v>447.373592</v>
      </c>
      <c r="Z259" s="24">
        <f t="shared" si="5"/>
        <v>0.1270370264</v>
      </c>
      <c r="AA259" s="25">
        <f t="shared" si="6"/>
        <v>0.3389193879</v>
      </c>
      <c r="AB259" s="23">
        <f t="shared" si="7"/>
        <v>637.134793</v>
      </c>
      <c r="AC259" s="24">
        <f t="shared" si="8"/>
        <v>0.1289699551</v>
      </c>
      <c r="AD259" s="25">
        <f t="shared" si="9"/>
        <v>0.4826778735</v>
      </c>
      <c r="AE259" s="26">
        <f>P259*(1-I259)*(1+'参数表'!$C$6)*(W259+X259+H259)*1.1+0.4*1.1</f>
        <v>6.156524</v>
      </c>
      <c r="AF259" s="26">
        <f t="shared" si="10"/>
        <v>8.2499285</v>
      </c>
    </row>
    <row r="260">
      <c r="A260" s="44" t="s">
        <v>821</v>
      </c>
      <c r="C260" s="60" t="s">
        <v>822</v>
      </c>
      <c r="D260" s="2" t="s">
        <v>61</v>
      </c>
      <c r="E260" s="31"/>
      <c r="F260" s="31" t="s">
        <v>823</v>
      </c>
      <c r="G260" s="13" t="s">
        <v>824</v>
      </c>
      <c r="H260" s="3">
        <v>0.05</v>
      </c>
      <c r="I260" s="3">
        <v>0.0</v>
      </c>
      <c r="J260" s="15">
        <v>4600.0</v>
      </c>
      <c r="K260" s="16">
        <v>80.0</v>
      </c>
      <c r="L260" s="16">
        <v>14.0</v>
      </c>
      <c r="M260" s="16">
        <v>24.0</v>
      </c>
      <c r="N260" s="16">
        <v>1.0</v>
      </c>
      <c r="O260" s="17">
        <f t="shared" si="13"/>
        <v>80</v>
      </c>
      <c r="P260" s="18">
        <v>62.8</v>
      </c>
      <c r="Q260" s="6">
        <f t="array" ref="Q260">XLOOKUP(K260/1000, '运费（邮政）'!$A$2:$A$21, '运费（邮政）'!$B$2:$B$21, "超出范围", 1)</f>
        <v>880</v>
      </c>
      <c r="R260" s="18">
        <v>18.99</v>
      </c>
      <c r="S260" s="19">
        <f t="shared" si="2"/>
        <v>10.44004901</v>
      </c>
      <c r="T260" s="20">
        <f t="shared" si="3"/>
        <v>81.79</v>
      </c>
      <c r="U260" s="21">
        <f t="array" ref="U260">XLOOKUP(O260/1000, '运费（橙联）'!$A$2:$A$57, '运费（橙联）'!$B$2:$B$57, "超出范围", 1)</f>
        <v>1227</v>
      </c>
      <c r="V260" s="22">
        <f>(P260*'参数表'!$C$2*(1+'参数表'!$C$3))*$B$1+'参数表'!$C$4</f>
        <v>1135.48696</v>
      </c>
      <c r="W260" s="3">
        <v>0.127</v>
      </c>
      <c r="X260" s="4">
        <v>0.0135</v>
      </c>
      <c r="Y260" s="23">
        <f t="shared" si="4"/>
        <v>1319.568612</v>
      </c>
      <c r="Z260" s="24">
        <f t="shared" si="5"/>
        <v>0.1479735144</v>
      </c>
      <c r="AA260" s="25">
        <f t="shared" si="6"/>
        <v>0.2868627417</v>
      </c>
      <c r="AB260" s="23">
        <f t="shared" si="7"/>
        <v>1968.593313</v>
      </c>
      <c r="AC260" s="24">
        <f t="shared" si="8"/>
        <v>0.169499122</v>
      </c>
      <c r="AD260" s="25">
        <f t="shared" si="9"/>
        <v>0.427955068</v>
      </c>
      <c r="AE260" s="26">
        <f>P260*(1-I260)*(1+'参数表'!$C$6)*(W260+X260+H260)*1.1+0.4*1.1</f>
        <v>14.915714</v>
      </c>
      <c r="AF260" s="26">
        <f t="shared" si="10"/>
        <v>18.8950685</v>
      </c>
    </row>
    <row r="261">
      <c r="A261" s="44" t="s">
        <v>825</v>
      </c>
      <c r="C261" s="60" t="s">
        <v>826</v>
      </c>
      <c r="D261" s="2" t="s">
        <v>61</v>
      </c>
      <c r="E261" s="31"/>
      <c r="F261" s="31" t="s">
        <v>827</v>
      </c>
      <c r="G261" s="57" t="s">
        <v>828</v>
      </c>
      <c r="H261" s="3">
        <v>0.05</v>
      </c>
      <c r="I261" s="3">
        <v>0.0</v>
      </c>
      <c r="J261" s="15">
        <v>1800.0</v>
      </c>
      <c r="K261" s="16">
        <v>80.0</v>
      </c>
      <c r="L261" s="16">
        <v>14.0</v>
      </c>
      <c r="M261" s="16">
        <v>24.0</v>
      </c>
      <c r="N261" s="16">
        <v>1.0</v>
      </c>
      <c r="O261" s="17">
        <f t="shared" si="13"/>
        <v>80</v>
      </c>
      <c r="P261" s="18">
        <v>30.5</v>
      </c>
      <c r="Q261" s="6">
        <f t="array" ref="Q261">XLOOKUP(K261/1000, '运费（邮政）'!$A$2:$A$21, '运费（邮政）'!$B$2:$B$21, "超出范围", 1)</f>
        <v>880</v>
      </c>
      <c r="R261" s="18">
        <v>12.99</v>
      </c>
      <c r="S261" s="19">
        <f t="shared" si="2"/>
        <v>7.142219014</v>
      </c>
      <c r="T261" s="20">
        <f t="shared" si="3"/>
        <v>43.49</v>
      </c>
      <c r="U261" s="21">
        <f t="array" ref="U261">XLOOKUP(O261/1000, '运费（橙联）'!$A$2:$A$57, '运费（橙联）'!$B$2:$B$57, "超出范围", 1)</f>
        <v>1227</v>
      </c>
      <c r="V261" s="22">
        <f>(P261*'参数表'!$C$2*(1+'参数表'!$C$3))*$B$1+'参数表'!$C$4</f>
        <v>667.1951</v>
      </c>
      <c r="W261" s="3">
        <v>0.127</v>
      </c>
      <c r="X261" s="4">
        <v>0.0135</v>
      </c>
      <c r="Y261" s="23">
        <f t="shared" si="4"/>
        <v>590.202845</v>
      </c>
      <c r="Z261" s="24">
        <f t="shared" si="5"/>
        <v>0.1362740349</v>
      </c>
      <c r="AA261" s="25">
        <f t="shared" si="6"/>
        <v>0.3278904694</v>
      </c>
      <c r="AB261" s="23">
        <f t="shared" si="7"/>
        <v>1034.056006</v>
      </c>
      <c r="AC261" s="24">
        <f t="shared" si="8"/>
        <v>0.1674427351</v>
      </c>
      <c r="AD261" s="25">
        <f t="shared" si="9"/>
        <v>0.5744755589</v>
      </c>
      <c r="AE261" s="26">
        <f>P261*(1-I261)*(1+'参数表'!$C$6)*(W261+X261+H261)*1.1+0.4*1.1</f>
        <v>7.4704025</v>
      </c>
      <c r="AF261" s="26">
        <f t="shared" si="10"/>
        <v>10.192457</v>
      </c>
    </row>
    <row r="262">
      <c r="A262" s="44" t="s">
        <v>829</v>
      </c>
      <c r="C262" s="60" t="s">
        <v>830</v>
      </c>
      <c r="D262" s="2" t="s">
        <v>61</v>
      </c>
      <c r="E262" s="31"/>
      <c r="F262" s="31" t="s">
        <v>720</v>
      </c>
      <c r="G262" s="13" t="s">
        <v>831</v>
      </c>
      <c r="H262" s="3">
        <v>0.05</v>
      </c>
      <c r="I262" s="3">
        <v>0.0</v>
      </c>
      <c r="J262" s="15">
        <v>1600.0</v>
      </c>
      <c r="K262" s="16">
        <v>80.0</v>
      </c>
      <c r="L262" s="16">
        <v>14.0</v>
      </c>
      <c r="M262" s="16">
        <v>24.0</v>
      </c>
      <c r="N262" s="16">
        <v>1.0</v>
      </c>
      <c r="O262" s="17">
        <f t="shared" si="13"/>
        <v>80</v>
      </c>
      <c r="P262" s="18">
        <v>28.8</v>
      </c>
      <c r="Q262" s="6">
        <f t="array" ref="Q262">XLOOKUP(K262/1000, '运费（邮政）'!$A$2:$A$21, '运费（邮政）'!$B$2:$B$21, "超出范围", 1)</f>
        <v>880</v>
      </c>
      <c r="R262" s="18">
        <v>9.99</v>
      </c>
      <c r="S262" s="19">
        <f t="shared" si="2"/>
        <v>6.968649014</v>
      </c>
      <c r="T262" s="20">
        <f t="shared" si="3"/>
        <v>38.79</v>
      </c>
      <c r="U262" s="21">
        <f t="array" ref="U262">XLOOKUP(O262/1000, '运费（橙联）'!$A$2:$A$57, '运费（橙联）'!$B$2:$B$57, "超出范围", 1)</f>
        <v>1227</v>
      </c>
      <c r="V262" s="22">
        <f>(P262*'参数表'!$C$2*(1+'参数表'!$C$3))*$B$1+'参数表'!$C$4</f>
        <v>642.54816</v>
      </c>
      <c r="W262" s="3">
        <v>0.127</v>
      </c>
      <c r="X262" s="4">
        <v>0.0135</v>
      </c>
      <c r="Y262" s="23">
        <f t="shared" si="4"/>
        <v>604.446752</v>
      </c>
      <c r="Z262" s="24">
        <f t="shared" si="5"/>
        <v>0.1478009468</v>
      </c>
      <c r="AA262" s="25">
        <f t="shared" si="6"/>
        <v>0.37777922</v>
      </c>
      <c r="AB262" s="23">
        <f t="shared" si="7"/>
        <v>736.215153</v>
      </c>
      <c r="AC262" s="24">
        <f t="shared" si="8"/>
        <v>0.1336585139</v>
      </c>
      <c r="AD262" s="25">
        <f t="shared" si="9"/>
        <v>0.4601344706</v>
      </c>
      <c r="AE262" s="26">
        <f>P262*(1-I262)*(1+'参数表'!$C$6)*(W262+X262+H262)*1.1+0.4*1.1</f>
        <v>7.078544</v>
      </c>
      <c r="AF262" s="26">
        <f t="shared" si="10"/>
        <v>9.1719485</v>
      </c>
    </row>
    <row r="263">
      <c r="A263" s="44" t="s">
        <v>832</v>
      </c>
      <c r="C263" s="60" t="s">
        <v>833</v>
      </c>
      <c r="D263" s="2" t="s">
        <v>61</v>
      </c>
      <c r="E263" s="31"/>
      <c r="F263" s="31" t="s">
        <v>834</v>
      </c>
      <c r="G263" s="13" t="s">
        <v>835</v>
      </c>
      <c r="H263" s="3">
        <v>0.05</v>
      </c>
      <c r="I263" s="3">
        <v>0.0</v>
      </c>
      <c r="J263" s="15">
        <v>13200.0</v>
      </c>
      <c r="K263" s="16">
        <v>310.0</v>
      </c>
      <c r="L263" s="16">
        <v>34.0</v>
      </c>
      <c r="M263" s="16">
        <v>24.0</v>
      </c>
      <c r="N263" s="16">
        <v>2.0</v>
      </c>
      <c r="O263" s="17">
        <f t="shared" si="13"/>
        <v>310</v>
      </c>
      <c r="P263" s="18">
        <v>168.0</v>
      </c>
      <c r="Q263" s="6">
        <f t="array" ref="Q263">XLOOKUP(K263/1000, '运费（邮政）'!$A$2:$A$21, '运费（邮政）'!$B$2:$B$21, "超出范围", 1)</f>
        <v>1420</v>
      </c>
      <c r="R263" s="18">
        <v>31.99</v>
      </c>
      <c r="S263" s="19">
        <f t="shared" si="2"/>
        <v>21.2584338</v>
      </c>
      <c r="T263" s="20">
        <f t="shared" si="3"/>
        <v>199.99</v>
      </c>
      <c r="U263" s="21">
        <f t="array" ref="U263">XLOOKUP(O263/1000, '运费（橙联）'!$A$2:$A$57, '运费（橙联）'!$B$2:$B$57, "超出范围", 1)</f>
        <v>1778</v>
      </c>
      <c r="V263" s="22">
        <f>(P263*'参数表'!$C$2*(1+'参数表'!$C$3))*$B$1+'参数表'!$C$4</f>
        <v>2660.6976</v>
      </c>
      <c r="W263" s="3">
        <v>0.127</v>
      </c>
      <c r="X263" s="4">
        <v>0.0135</v>
      </c>
      <c r="Y263" s="23">
        <f t="shared" si="4"/>
        <v>3674.59272</v>
      </c>
      <c r="Z263" s="24">
        <f t="shared" si="5"/>
        <v>0.1540322233</v>
      </c>
      <c r="AA263" s="25">
        <f t="shared" si="6"/>
        <v>0.2783782364</v>
      </c>
      <c r="AB263" s="23">
        <f t="shared" si="7"/>
        <v>4246.577481</v>
      </c>
      <c r="AC263" s="24">
        <f t="shared" si="8"/>
        <v>0.1495348528</v>
      </c>
      <c r="AD263" s="25">
        <f t="shared" si="9"/>
        <v>0.3217104152</v>
      </c>
      <c r="AE263" s="26">
        <f>P263*(1-I263)*(1+'参数表'!$C$6)*(W263+X263+H263)*1.1+0.4*1.1</f>
        <v>39.16484</v>
      </c>
      <c r="AF263" s="26">
        <f t="shared" si="10"/>
        <v>45.8683445</v>
      </c>
    </row>
    <row r="264">
      <c r="A264" s="65" t="s">
        <v>836</v>
      </c>
      <c r="C264" s="60" t="s">
        <v>837</v>
      </c>
      <c r="D264" s="2" t="s">
        <v>61</v>
      </c>
      <c r="E264" s="31"/>
      <c r="F264" s="31" t="s">
        <v>838</v>
      </c>
      <c r="G264" s="64">
        <v>4.595057030224E12</v>
      </c>
      <c r="H264" s="3">
        <v>0.05</v>
      </c>
      <c r="I264" s="3">
        <v>0.0</v>
      </c>
      <c r="J264" s="15">
        <v>8201.0</v>
      </c>
      <c r="K264" s="16">
        <v>510.0</v>
      </c>
      <c r="L264" s="16">
        <v>18.0</v>
      </c>
      <c r="M264" s="16">
        <v>14.0</v>
      </c>
      <c r="N264" s="16">
        <v>3.0</v>
      </c>
      <c r="O264" s="17">
        <f t="shared" si="13"/>
        <v>510</v>
      </c>
      <c r="P264" s="18">
        <v>118.0</v>
      </c>
      <c r="Q264" s="6">
        <f t="array" ref="Q264">XLOOKUP(K264/1000, '运费（邮政）'!$A$2:$A$21, '运费（邮政）'!$B$2:$B$21, "超出范围", 1)</f>
        <v>1780</v>
      </c>
      <c r="R264" s="18">
        <v>18.99</v>
      </c>
      <c r="S264" s="19">
        <f t="shared" si="2"/>
        <v>16.7449831</v>
      </c>
      <c r="T264" s="20">
        <f t="shared" si="3"/>
        <v>136.99</v>
      </c>
      <c r="U264" s="21">
        <f t="array" ref="U264">XLOOKUP(O264/1000, '运费（橙联）'!$A$2:$A$57, '运费（橙联）'!$B$2:$B$57, "超出范围", 1)</f>
        <v>2222</v>
      </c>
      <c r="V264" s="22">
        <f>(P264*'参数表'!$C$2*(1+'参数表'!$C$3))*$B$1+'参数表'!$C$4</f>
        <v>1935.7876</v>
      </c>
      <c r="W264" s="3">
        <v>0.127</v>
      </c>
      <c r="X264" s="4">
        <v>0.0135</v>
      </c>
      <c r="Y264" s="23">
        <f t="shared" si="4"/>
        <v>2850.17822</v>
      </c>
      <c r="Z264" s="24">
        <f t="shared" si="5"/>
        <v>0.1700989628</v>
      </c>
      <c r="AA264" s="25">
        <f t="shared" si="6"/>
        <v>0.3475403268</v>
      </c>
      <c r="AB264" s="23">
        <f t="shared" si="7"/>
        <v>2603.902281</v>
      </c>
      <c r="AC264" s="24">
        <f t="shared" si="8"/>
        <v>0.1338589679</v>
      </c>
      <c r="AD264" s="25">
        <f t="shared" si="9"/>
        <v>0.3175103379</v>
      </c>
      <c r="AE264" s="26">
        <f>P264*(1-I264)*(1+'参数表'!$C$6)*(W264+X264+H264)*1.1+0.4*1.1</f>
        <v>27.63959</v>
      </c>
      <c r="AF264" s="26">
        <f t="shared" si="10"/>
        <v>31.6189445</v>
      </c>
    </row>
    <row r="265">
      <c r="A265" s="44" t="s">
        <v>839</v>
      </c>
      <c r="C265" s="60" t="s">
        <v>840</v>
      </c>
      <c r="D265" s="2" t="s">
        <v>841</v>
      </c>
      <c r="E265" s="31"/>
      <c r="F265" s="31" t="s">
        <v>838</v>
      </c>
      <c r="G265" s="13" t="s">
        <v>842</v>
      </c>
      <c r="H265" s="3">
        <v>0.05</v>
      </c>
      <c r="I265" s="3">
        <v>0.0</v>
      </c>
      <c r="J265" s="15"/>
      <c r="K265" s="16"/>
      <c r="L265" s="16">
        <v>34.0</v>
      </c>
      <c r="M265" s="16">
        <v>24.0</v>
      </c>
      <c r="N265" s="16">
        <v>2.0</v>
      </c>
      <c r="O265" s="17">
        <f t="shared" si="13"/>
        <v>204</v>
      </c>
      <c r="P265" s="18"/>
      <c r="Q265" s="6">
        <f t="array" ref="Q265">XLOOKUP(K265/1000, '运费（邮政）'!$A$2:$A$21, '运费（邮政）'!$B$2:$B$21, "超出范围", 1)</f>
        <v>880</v>
      </c>
      <c r="R265" s="18"/>
      <c r="S265" s="19">
        <f t="shared" si="2"/>
        <v>6.521126761</v>
      </c>
      <c r="T265" s="20">
        <f t="shared" si="3"/>
        <v>0</v>
      </c>
      <c r="U265" s="21">
        <f t="array" ref="U265">XLOOKUP(O265/1000, '运费（橙联）'!$A$2:$A$57, '运费（橙联）'!$B$2:$B$57, "超出范围", 1)</f>
        <v>1581</v>
      </c>
      <c r="V265" s="22">
        <f>(P265*'参数表'!$C$2*(1+'参数表'!$C$3))*$B$1+'参数表'!$C$4</f>
        <v>225</v>
      </c>
      <c r="W265" s="3">
        <v>0.153</v>
      </c>
      <c r="X265" s="4">
        <v>0.0135</v>
      </c>
      <c r="Y265" s="23">
        <f t="shared" si="4"/>
        <v>-942.48</v>
      </c>
      <c r="Z265" s="24" t="str">
        <f t="shared" si="5"/>
        <v>#DIV/0!</v>
      </c>
      <c r="AA265" s="25" t="str">
        <f t="shared" si="6"/>
        <v>#DIV/0!</v>
      </c>
      <c r="AB265" s="23">
        <f t="shared" si="7"/>
        <v>-1868.48</v>
      </c>
      <c r="AC265" s="24" t="str">
        <f t="shared" si="8"/>
        <v>#DIV/0!</v>
      </c>
      <c r="AD265" s="25" t="str">
        <f t="shared" si="9"/>
        <v>#DIV/0!</v>
      </c>
      <c r="AE265" s="26">
        <f>P265*(1-I265)*(1+'参数表'!$C$6)*(W265+X265+H265)*1.1+0.4*1.1</f>
        <v>0.44</v>
      </c>
      <c r="AF265" s="26">
        <f t="shared" si="10"/>
        <v>0.44</v>
      </c>
    </row>
    <row r="266">
      <c r="A266" s="44" t="s">
        <v>843</v>
      </c>
      <c r="C266" s="60" t="s">
        <v>844</v>
      </c>
      <c r="E266" s="31"/>
      <c r="F266" s="31" t="s">
        <v>838</v>
      </c>
      <c r="G266" s="13" t="s">
        <v>845</v>
      </c>
      <c r="H266" s="3">
        <v>0.05</v>
      </c>
      <c r="I266" s="3">
        <v>0.0</v>
      </c>
      <c r="J266" s="15">
        <v>1881.0</v>
      </c>
      <c r="K266" s="16">
        <v>210.0</v>
      </c>
      <c r="L266" s="16">
        <v>34.0</v>
      </c>
      <c r="M266" s="16">
        <v>24.0</v>
      </c>
      <c r="N266" s="16">
        <v>2.0</v>
      </c>
      <c r="O266" s="17">
        <f t="shared" si="13"/>
        <v>210</v>
      </c>
      <c r="P266" s="18">
        <v>34.8</v>
      </c>
      <c r="Q266" s="6">
        <f t="array" ref="Q266">XLOOKUP(K266/1000, '运费（邮政）'!$A$2:$A$21, '运费（邮政）'!$B$2:$B$21, "超出范围", 1)</f>
        <v>1240</v>
      </c>
      <c r="R266" s="18">
        <v>12.99</v>
      </c>
      <c r="S266" s="19">
        <f t="shared" si="2"/>
        <v>7.538995493</v>
      </c>
      <c r="T266" s="20">
        <f t="shared" si="3"/>
        <v>47.79</v>
      </c>
      <c r="U266" s="21">
        <f t="array" ref="U266">XLOOKUP(O266/1000, '运费（橙联）'!$A$2:$A$57, '运费（橙联）'!$B$2:$B$57, "超出范围", 1)</f>
        <v>1581</v>
      </c>
      <c r="V266" s="22">
        <f>(P266*'参数表'!$C$2*(1+'参数表'!$C$3))*$B$1+'参数表'!$C$4</f>
        <v>729.53736</v>
      </c>
      <c r="W266" s="3">
        <v>0.153</v>
      </c>
      <c r="X266" s="4">
        <v>0.0135</v>
      </c>
      <c r="Y266" s="23">
        <f t="shared" si="4"/>
        <v>463.593756</v>
      </c>
      <c r="Z266" s="24">
        <f t="shared" si="5"/>
        <v>0.09381450461</v>
      </c>
      <c r="AA266" s="25">
        <f t="shared" si="6"/>
        <v>0.246461327</v>
      </c>
      <c r="AB266" s="23">
        <f t="shared" si="7"/>
        <v>798.349669</v>
      </c>
      <c r="AC266" s="24">
        <f t="shared" si="8"/>
        <v>0.1176434561</v>
      </c>
      <c r="AD266" s="25">
        <f t="shared" si="9"/>
        <v>0.4244283195</v>
      </c>
      <c r="AE266" s="26">
        <f>P266*(1-I266)*(1+'参数表'!$C$6)*(W266+X266+H266)*1.1+0.4*1.1</f>
        <v>9.556382</v>
      </c>
      <c r="AF266" s="26">
        <f t="shared" si="10"/>
        <v>12.6499505</v>
      </c>
    </row>
    <row r="267">
      <c r="C267" s="60" t="s">
        <v>846</v>
      </c>
      <c r="E267" s="14"/>
      <c r="F267" s="14"/>
      <c r="G267" s="13" t="s">
        <v>847</v>
      </c>
      <c r="H267" s="3">
        <v>0.05</v>
      </c>
      <c r="I267" s="3">
        <v>0.0</v>
      </c>
      <c r="J267" s="15"/>
      <c r="K267" s="16"/>
      <c r="L267" s="16">
        <v>34.0</v>
      </c>
      <c r="M267" s="16">
        <v>24.0</v>
      </c>
      <c r="N267" s="16">
        <v>2.0</v>
      </c>
      <c r="O267" s="17">
        <f t="shared" si="13"/>
        <v>204</v>
      </c>
      <c r="P267" s="18"/>
      <c r="Q267" s="6">
        <f t="array" ref="Q267">XLOOKUP(K267/1000, '运费（邮政）'!$A$2:$A$21, '运费（邮政）'!$B$2:$B$21, "超出范围", 1)</f>
        <v>880</v>
      </c>
      <c r="R267" s="18"/>
      <c r="S267" s="19">
        <f t="shared" si="2"/>
        <v>6.521126761</v>
      </c>
      <c r="T267" s="20">
        <f t="shared" si="3"/>
        <v>0</v>
      </c>
      <c r="U267" s="21">
        <f t="array" ref="U267">XLOOKUP(O267/1000, '运费（橙联）'!$A$2:$A$57, '运费（橙联）'!$B$2:$B$57, "超出范围", 1)</f>
        <v>1581</v>
      </c>
      <c r="V267" s="22">
        <f>(P267*'参数表'!$C$2*(1+'参数表'!$C$3))*$B$1+'参数表'!$C$4</f>
        <v>225</v>
      </c>
      <c r="W267" s="3">
        <v>0.127</v>
      </c>
      <c r="X267" s="4">
        <v>0.0135</v>
      </c>
      <c r="Y267" s="23">
        <f t="shared" si="4"/>
        <v>-942.48</v>
      </c>
      <c r="Z267" s="24" t="str">
        <f t="shared" si="5"/>
        <v>#DIV/0!</v>
      </c>
      <c r="AA267" s="25" t="str">
        <f t="shared" si="6"/>
        <v>#DIV/0!</v>
      </c>
      <c r="AB267" s="23">
        <f t="shared" si="7"/>
        <v>-1868.48</v>
      </c>
      <c r="AC267" s="24" t="str">
        <f t="shared" si="8"/>
        <v>#DIV/0!</v>
      </c>
      <c r="AD267" s="25" t="str">
        <f t="shared" si="9"/>
        <v>#DIV/0!</v>
      </c>
      <c r="AE267" s="26">
        <f>P267*(1-I267)*(1+'参数表'!$C$6)*(W267+X267+H267)*1.1+0.4*1.1</f>
        <v>0.44</v>
      </c>
      <c r="AF267" s="26">
        <f t="shared" si="10"/>
        <v>0.44</v>
      </c>
    </row>
    <row r="268">
      <c r="A268" s="44" t="s">
        <v>848</v>
      </c>
      <c r="C268" s="60" t="s">
        <v>849</v>
      </c>
      <c r="E268" s="14"/>
      <c r="F268" s="14"/>
      <c r="G268" s="13" t="s">
        <v>850</v>
      </c>
      <c r="H268" s="3">
        <v>0.05</v>
      </c>
      <c r="I268" s="3">
        <v>0.0</v>
      </c>
      <c r="J268" s="15">
        <v>3300.0</v>
      </c>
      <c r="K268" s="16">
        <v>210.0</v>
      </c>
      <c r="L268" s="16">
        <v>28.5</v>
      </c>
      <c r="M268" s="16">
        <v>20.0</v>
      </c>
      <c r="N268" s="16">
        <v>2.0</v>
      </c>
      <c r="O268" s="17">
        <f t="shared" si="13"/>
        <v>210</v>
      </c>
      <c r="P268" s="18">
        <v>48.55</v>
      </c>
      <c r="Q268" s="6">
        <f t="array" ref="Q268">XLOOKUP(K268/1000, '运费（邮政）'!$A$2:$A$21, '运费（邮政）'!$B$2:$B$21, "超出范围", 1)</f>
        <v>1240</v>
      </c>
      <c r="R268" s="18">
        <v>15.0</v>
      </c>
      <c r="S268" s="19">
        <f t="shared" si="2"/>
        <v>8.942870493</v>
      </c>
      <c r="T268" s="20">
        <f t="shared" si="3"/>
        <v>63.55</v>
      </c>
      <c r="U268" s="21">
        <f t="array" ref="U268">XLOOKUP(O268/1000, '运费（橙联）'!$A$2:$A$57, '运费（橙联）'!$B$2:$B$57, "超出范围", 1)</f>
        <v>1581</v>
      </c>
      <c r="V268" s="22">
        <f>(P268*'参数表'!$C$2*(1+'参数表'!$C$3))*$B$1+'参数表'!$C$4</f>
        <v>928.88761</v>
      </c>
      <c r="W268" s="3">
        <v>0.153</v>
      </c>
      <c r="X268" s="4">
        <v>0.0135</v>
      </c>
      <c r="Y268" s="23">
        <f t="shared" si="4"/>
        <v>485.6070935</v>
      </c>
      <c r="Z268" s="24">
        <f t="shared" si="5"/>
        <v>0.07043806929</v>
      </c>
      <c r="AA268" s="25">
        <f t="shared" si="6"/>
        <v>0.1471536647</v>
      </c>
      <c r="AB268" s="23">
        <f t="shared" si="7"/>
        <v>838.4599835</v>
      </c>
      <c r="AC268" s="24">
        <f t="shared" si="8"/>
        <v>0.0929134189</v>
      </c>
      <c r="AD268" s="25">
        <f t="shared" si="9"/>
        <v>0.2540787829</v>
      </c>
      <c r="AE268" s="26">
        <f>P268*(1-I268)*(1+'参数表'!$C$6)*(W268+X268+H268)*1.1+0.4*1.1</f>
        <v>13.15840075</v>
      </c>
      <c r="AF268" s="26">
        <f t="shared" si="10"/>
        <v>16.73065075</v>
      </c>
    </row>
    <row r="269" ht="15.0" customHeight="1">
      <c r="A269" s="54" t="s">
        <v>851</v>
      </c>
      <c r="B269" s="54" t="s">
        <v>852</v>
      </c>
      <c r="C269" s="60" t="s">
        <v>853</v>
      </c>
      <c r="D269" s="2" t="s">
        <v>61</v>
      </c>
      <c r="E269" s="14"/>
      <c r="F269" s="14"/>
      <c r="G269" s="13" t="s">
        <v>854</v>
      </c>
      <c r="H269" s="3">
        <v>0.05</v>
      </c>
      <c r="I269" s="3">
        <v>0.0</v>
      </c>
      <c r="J269" s="15">
        <v>3300.0</v>
      </c>
      <c r="K269" s="16">
        <v>210.0</v>
      </c>
      <c r="L269" s="16">
        <v>34.0</v>
      </c>
      <c r="M269" s="16">
        <v>24.0</v>
      </c>
      <c r="N269" s="16">
        <v>2.0</v>
      </c>
      <c r="O269" s="17">
        <f t="shared" si="13"/>
        <v>210</v>
      </c>
      <c r="P269" s="18">
        <v>52.8</v>
      </c>
      <c r="Q269" s="6">
        <f t="array" ref="Q269">XLOOKUP(K269/1000, '运费（邮政）'!$A$2:$A$21, '运费（邮政）'!$B$2:$B$21, "超出范围", 1)</f>
        <v>1240</v>
      </c>
      <c r="R269" s="18">
        <v>15.99</v>
      </c>
      <c r="S269" s="19">
        <f t="shared" si="2"/>
        <v>9.376795493</v>
      </c>
      <c r="T269" s="20">
        <f t="shared" si="3"/>
        <v>68.79</v>
      </c>
      <c r="U269" s="21">
        <f t="array" ref="U269">XLOOKUP(O269/1000, '运费（橙联）'!$A$2:$A$57, '运费（橙联）'!$B$2:$B$57, "超出范围", 1)</f>
        <v>1581</v>
      </c>
      <c r="V269" s="22">
        <f>(P269*'参数表'!$C$2*(1+'参数表'!$C$3))*$B$1+'参数表'!$C$4</f>
        <v>990.50496</v>
      </c>
      <c r="W269" s="3">
        <v>0.153</v>
      </c>
      <c r="X269" s="4">
        <v>0.0135</v>
      </c>
      <c r="Y269" s="23">
        <f t="shared" si="4"/>
        <v>931.011216</v>
      </c>
      <c r="Z269" s="24">
        <f t="shared" si="5"/>
        <v>0.1241745647</v>
      </c>
      <c r="AA269" s="25">
        <f t="shared" si="6"/>
        <v>0.2821246109</v>
      </c>
      <c r="AB269" s="23">
        <f t="shared" si="7"/>
        <v>1329.347629</v>
      </c>
      <c r="AC269" s="24">
        <f t="shared" si="8"/>
        <v>0.1360895918</v>
      </c>
      <c r="AD269" s="25">
        <f t="shared" si="9"/>
        <v>0.4028326148</v>
      </c>
      <c r="AE269" s="26">
        <f>P269*(1-I269)*(1+'参数表'!$C$6)*(W269+X269+H269)*1.1+0.4*1.1</f>
        <v>14.271752</v>
      </c>
      <c r="AF269" s="26">
        <f t="shared" si="10"/>
        <v>18.0797705</v>
      </c>
    </row>
    <row r="270">
      <c r="A270" s="44" t="s">
        <v>855</v>
      </c>
      <c r="B270" s="44" t="s">
        <v>856</v>
      </c>
      <c r="C270" s="60" t="s">
        <v>857</v>
      </c>
      <c r="D270" s="2" t="s">
        <v>61</v>
      </c>
      <c r="E270" s="14"/>
      <c r="F270" s="14"/>
      <c r="G270" s="63" t="s">
        <v>858</v>
      </c>
      <c r="H270" s="3">
        <v>0.05</v>
      </c>
      <c r="I270" s="3">
        <v>0.0</v>
      </c>
      <c r="J270" s="15">
        <v>3410.0</v>
      </c>
      <c r="K270" s="16">
        <v>120.0</v>
      </c>
      <c r="L270" s="16">
        <v>14.0</v>
      </c>
      <c r="M270" s="16">
        <v>24.0</v>
      </c>
      <c r="N270" s="16">
        <v>1.0</v>
      </c>
      <c r="O270" s="17">
        <f t="shared" si="13"/>
        <v>120</v>
      </c>
      <c r="P270" s="18">
        <v>52.8</v>
      </c>
      <c r="Q270" s="6">
        <f t="array" ref="Q270">XLOOKUP(K270/1000, '运费（邮政）'!$A$2:$A$21, '运费（邮政）'!$B$2:$B$21, "超出范围", 1)</f>
        <v>1060</v>
      </c>
      <c r="R270" s="18">
        <v>15.99</v>
      </c>
      <c r="S270" s="19">
        <f t="shared" si="2"/>
        <v>9.137358873</v>
      </c>
      <c r="T270" s="20">
        <f t="shared" si="3"/>
        <v>68.79</v>
      </c>
      <c r="U270" s="21">
        <f t="array" ref="U270">XLOOKUP(O270/1000, '运费（橙联）'!$A$2:$A$57, '运费（橙联）'!$B$2:$B$57, "超出范围", 1)</f>
        <v>1367</v>
      </c>
      <c r="V270" s="22">
        <f>(P270*'参数表'!$C$2*(1+'参数表'!$C$3))*$B$1+'参数表'!$C$4</f>
        <v>990.50496</v>
      </c>
      <c r="W270" s="3">
        <v>0.153</v>
      </c>
      <c r="X270" s="4">
        <v>0.0135</v>
      </c>
      <c r="Y270" s="23">
        <f t="shared" si="4"/>
        <v>1001.011216</v>
      </c>
      <c r="Z270" s="24">
        <f t="shared" si="5"/>
        <v>0.1335108856</v>
      </c>
      <c r="AA270" s="25">
        <f t="shared" si="6"/>
        <v>0.2935516762</v>
      </c>
      <c r="AB270" s="23">
        <f t="shared" si="7"/>
        <v>1433.347629</v>
      </c>
      <c r="AC270" s="24">
        <f t="shared" si="8"/>
        <v>0.1467364063</v>
      </c>
      <c r="AD270" s="25">
        <f t="shared" si="9"/>
        <v>0.4203365481</v>
      </c>
      <c r="AE270" s="26">
        <f>P270*(1-I270)*(1+'参数表'!$C$6)*(W270+X270+H270)*1.1+0.4*1.1</f>
        <v>14.271752</v>
      </c>
      <c r="AF270" s="26">
        <f t="shared" si="10"/>
        <v>18.0797705</v>
      </c>
    </row>
    <row r="271">
      <c r="A271" s="44" t="s">
        <v>859</v>
      </c>
      <c r="B271" s="44" t="s">
        <v>860</v>
      </c>
      <c r="C271" s="60" t="s">
        <v>861</v>
      </c>
      <c r="D271" s="2" t="s">
        <v>61</v>
      </c>
      <c r="E271" s="14"/>
      <c r="F271" s="14"/>
      <c r="G271" s="13" t="s">
        <v>862</v>
      </c>
      <c r="H271" s="3">
        <v>0.05</v>
      </c>
      <c r="I271" s="3">
        <v>0.0</v>
      </c>
      <c r="J271" s="15">
        <v>1696.0</v>
      </c>
      <c r="K271" s="16">
        <v>120.0</v>
      </c>
      <c r="L271" s="16">
        <v>14.0</v>
      </c>
      <c r="M271" s="16">
        <v>24.0</v>
      </c>
      <c r="N271" s="16">
        <v>1.0</v>
      </c>
      <c r="O271" s="17">
        <f t="shared" si="13"/>
        <v>120</v>
      </c>
      <c r="P271" s="18">
        <v>30.8</v>
      </c>
      <c r="Q271" s="6">
        <f t="array" ref="Q271">XLOOKUP(K271/1000, '运费（邮政）'!$A$2:$A$21, '运费（邮政）'!$B$2:$B$21, "超出范围", 1)</f>
        <v>1060</v>
      </c>
      <c r="R271" s="18">
        <v>12.99</v>
      </c>
      <c r="S271" s="19">
        <f t="shared" si="2"/>
        <v>6.891158873</v>
      </c>
      <c r="T271" s="20">
        <f t="shared" si="3"/>
        <v>43.79</v>
      </c>
      <c r="U271" s="21">
        <f t="array" ref="U271">XLOOKUP(O271/1000, '运费（橙联）'!$A$2:$A$57, '运费（橙联）'!$B$2:$B$57, "超出范围", 1)</f>
        <v>1367</v>
      </c>
      <c r="V271" s="22">
        <f>(P271*'参数表'!$C$2*(1+'参数表'!$C$3))*$B$1+'参数表'!$C$4</f>
        <v>671.54456</v>
      </c>
      <c r="W271" s="3">
        <v>0.153</v>
      </c>
      <c r="X271" s="4">
        <v>0.0135</v>
      </c>
      <c r="Y271" s="23">
        <f t="shared" si="4"/>
        <v>409.389876</v>
      </c>
      <c r="Z271" s="24">
        <f t="shared" si="5"/>
        <v>0.09360478233</v>
      </c>
      <c r="AA271" s="25">
        <f t="shared" si="6"/>
        <v>0.2413855401</v>
      </c>
      <c r="AB271" s="23">
        <f t="shared" si="7"/>
        <v>836.138589</v>
      </c>
      <c r="AC271" s="24">
        <f t="shared" si="8"/>
        <v>0.1344667715</v>
      </c>
      <c r="AD271" s="25">
        <f t="shared" si="9"/>
        <v>0.4930062435</v>
      </c>
      <c r="AE271" s="26">
        <f>P271*(1-I271)*(1+'参数表'!$C$6)*(W271+X271+H271)*1.1+0.4*1.1</f>
        <v>8.508522</v>
      </c>
      <c r="AF271" s="26">
        <f t="shared" si="10"/>
        <v>11.6020905</v>
      </c>
    </row>
    <row r="272">
      <c r="A272" s="44" t="s">
        <v>863</v>
      </c>
      <c r="B272" s="44" t="s">
        <v>864</v>
      </c>
      <c r="C272" s="60" t="s">
        <v>865</v>
      </c>
      <c r="D272" s="2" t="s">
        <v>61</v>
      </c>
      <c r="E272" s="14"/>
      <c r="F272" s="14"/>
      <c r="G272" s="13" t="s">
        <v>866</v>
      </c>
      <c r="H272" s="3">
        <v>0.05</v>
      </c>
      <c r="I272" s="3">
        <v>0.0</v>
      </c>
      <c r="J272" s="15">
        <v>3500.0</v>
      </c>
      <c r="K272" s="16">
        <v>180.0</v>
      </c>
      <c r="L272" s="16">
        <v>14.0</v>
      </c>
      <c r="M272" s="16">
        <v>24.0</v>
      </c>
      <c r="N272" s="16">
        <v>1.0</v>
      </c>
      <c r="O272" s="17">
        <f t="shared" si="13"/>
        <v>180</v>
      </c>
      <c r="P272" s="18">
        <v>53.8</v>
      </c>
      <c r="Q272" s="6">
        <f t="array" ref="Q272">XLOOKUP(K272/1000, '运费（邮政）'!$A$2:$A$21, '运费（邮政）'!$B$2:$B$21, "超出范围", 1)</f>
        <v>1060</v>
      </c>
      <c r="R272" s="18">
        <v>15.99</v>
      </c>
      <c r="S272" s="19">
        <f t="shared" si="2"/>
        <v>9.239458873</v>
      </c>
      <c r="T272" s="20">
        <f t="shared" si="3"/>
        <v>69.79</v>
      </c>
      <c r="U272" s="21">
        <f t="array" ref="U272">XLOOKUP(O272/1000, '运费（橙联）'!$A$2:$A$57, '运费（橙联）'!$B$2:$B$57, "超出范围", 1)</f>
        <v>1367</v>
      </c>
      <c r="V272" s="22">
        <f>(P272*'参数表'!$C$2*(1+'参数表'!$C$3))*$B$1+'参数表'!$C$4</f>
        <v>1005.00316</v>
      </c>
      <c r="W272" s="3">
        <v>0.153</v>
      </c>
      <c r="X272" s="4">
        <v>0.0135</v>
      </c>
      <c r="Y272" s="23">
        <f t="shared" si="4"/>
        <v>1015.812186</v>
      </c>
      <c r="Z272" s="24">
        <f t="shared" si="5"/>
        <v>0.1329666718</v>
      </c>
      <c r="AA272" s="25">
        <f t="shared" si="6"/>
        <v>0.2902320531</v>
      </c>
      <c r="AB272" s="23">
        <f t="shared" si="7"/>
        <v>1433.650399</v>
      </c>
      <c r="AC272" s="24">
        <f t="shared" si="8"/>
        <v>0.1446644157</v>
      </c>
      <c r="AD272" s="25">
        <f t="shared" si="9"/>
        <v>0.4096143997</v>
      </c>
      <c r="AE272" s="26">
        <f>P272*(1-I272)*(1+'参数表'!$C$6)*(W272+X272+H272)*1.1+0.4*1.1</f>
        <v>14.533717</v>
      </c>
      <c r="AF272" s="26">
        <f t="shared" si="10"/>
        <v>18.3417355</v>
      </c>
    </row>
    <row r="273">
      <c r="A273" s="44" t="s">
        <v>867</v>
      </c>
      <c r="B273" s="44" t="s">
        <v>868</v>
      </c>
      <c r="C273" s="60" t="s">
        <v>869</v>
      </c>
      <c r="D273" s="2" t="s">
        <v>61</v>
      </c>
      <c r="E273" s="14"/>
      <c r="F273" s="14"/>
      <c r="G273" s="13" t="s">
        <v>870</v>
      </c>
      <c r="H273" s="3">
        <v>0.05</v>
      </c>
      <c r="I273" s="3">
        <v>0.0</v>
      </c>
      <c r="J273" s="15">
        <v>2515.0</v>
      </c>
      <c r="K273" s="16">
        <v>180.0</v>
      </c>
      <c r="L273" s="16">
        <v>14.0</v>
      </c>
      <c r="M273" s="16">
        <v>24.0</v>
      </c>
      <c r="N273" s="16">
        <v>1.0</v>
      </c>
      <c r="O273" s="17">
        <f t="shared" si="13"/>
        <v>180</v>
      </c>
      <c r="P273" s="18">
        <v>40.8</v>
      </c>
      <c r="Q273" s="6">
        <f t="array" ref="Q273">XLOOKUP(K273/1000, '运费（邮政）'!$A$2:$A$21, '运费（邮政）'!$B$2:$B$21, "超出范围", 1)</f>
        <v>1060</v>
      </c>
      <c r="R273" s="18">
        <v>15.99</v>
      </c>
      <c r="S273" s="19">
        <f t="shared" si="2"/>
        <v>7.912158873</v>
      </c>
      <c r="T273" s="20">
        <f t="shared" si="3"/>
        <v>56.79</v>
      </c>
      <c r="U273" s="21">
        <f t="array" ref="U273">XLOOKUP(O273/1000, '运费（橙联）'!$A$2:$A$57, '运费（橙联）'!$B$2:$B$57, "超出范围", 1)</f>
        <v>1367</v>
      </c>
      <c r="V273" s="22">
        <f>(P273*'参数表'!$C$2*(1+'参数表'!$C$3))*$B$1+'参数表'!$C$4</f>
        <v>816.52656</v>
      </c>
      <c r="W273" s="3">
        <v>0.153</v>
      </c>
      <c r="X273" s="4">
        <v>0.0135</v>
      </c>
      <c r="Y273" s="23">
        <f t="shared" si="4"/>
        <v>638.399576</v>
      </c>
      <c r="Z273" s="24">
        <f t="shared" si="5"/>
        <v>0.1101904819</v>
      </c>
      <c r="AA273" s="25">
        <f t="shared" si="6"/>
        <v>0.2538368095</v>
      </c>
      <c r="AB273" s="23">
        <f t="shared" si="7"/>
        <v>1244.714389</v>
      </c>
      <c r="AC273" s="24">
        <f t="shared" si="8"/>
        <v>0.1543510176</v>
      </c>
      <c r="AD273" s="25">
        <f t="shared" si="9"/>
        <v>0.4949162581</v>
      </c>
      <c r="AE273" s="26">
        <f>P273*(1-I273)*(1+'参数表'!$C$6)*(W273+X273+H273)*1.1+0.4*1.1</f>
        <v>11.128172</v>
      </c>
      <c r="AF273" s="26">
        <f t="shared" si="10"/>
        <v>14.9361905</v>
      </c>
    </row>
    <row r="274">
      <c r="A274" s="44" t="s">
        <v>871</v>
      </c>
      <c r="B274" s="44" t="s">
        <v>872</v>
      </c>
      <c r="C274" s="60" t="s">
        <v>873</v>
      </c>
      <c r="D274" s="2" t="s">
        <v>61</v>
      </c>
      <c r="E274" s="14"/>
      <c r="F274" s="14"/>
      <c r="G274" s="13" t="s">
        <v>874</v>
      </c>
      <c r="H274" s="3">
        <v>0.05</v>
      </c>
      <c r="I274" s="3">
        <v>0.0</v>
      </c>
      <c r="J274" s="15">
        <v>2750.0</v>
      </c>
      <c r="K274" s="16">
        <v>120.0</v>
      </c>
      <c r="L274" s="16">
        <v>14.0</v>
      </c>
      <c r="M274" s="16">
        <v>24.0</v>
      </c>
      <c r="N274" s="16">
        <v>1.0</v>
      </c>
      <c r="O274" s="17">
        <f t="shared" si="13"/>
        <v>120</v>
      </c>
      <c r="P274" s="18">
        <v>43.8</v>
      </c>
      <c r="Q274" s="6">
        <f t="array" ref="Q274">XLOOKUP(K274/1000, '运费（邮政）'!$A$2:$A$21, '运费（邮政）'!$B$2:$B$21, "超出范围", 1)</f>
        <v>1060</v>
      </c>
      <c r="R274" s="18">
        <v>15.99</v>
      </c>
      <c r="S274" s="19">
        <f t="shared" si="2"/>
        <v>8.218458873</v>
      </c>
      <c r="T274" s="20">
        <f t="shared" si="3"/>
        <v>59.79</v>
      </c>
      <c r="U274" s="21">
        <f t="array" ref="U274">XLOOKUP(O274/1000, '运费（橙联）'!$A$2:$A$57, '运费（橙联）'!$B$2:$B$57, "超出范围", 1)</f>
        <v>1367</v>
      </c>
      <c r="V274" s="22">
        <f>(P274*'参数表'!$C$2*(1+'参数表'!$C$3))*$B$1+'参数表'!$C$4</f>
        <v>860.02116</v>
      </c>
      <c r="W274" s="3">
        <v>0.153</v>
      </c>
      <c r="X274" s="4">
        <v>0.0135</v>
      </c>
      <c r="Y274" s="23">
        <f t="shared" si="4"/>
        <v>717.802486</v>
      </c>
      <c r="Z274" s="24">
        <f t="shared" si="5"/>
        <v>0.1154097508</v>
      </c>
      <c r="AA274" s="25">
        <f t="shared" si="6"/>
        <v>0.2610190858</v>
      </c>
      <c r="AB274" s="23">
        <f t="shared" si="7"/>
        <v>1280.622699</v>
      </c>
      <c r="AC274" s="24">
        <f t="shared" si="8"/>
        <v>0.1508357537</v>
      </c>
      <c r="AD274" s="25">
        <f t="shared" si="9"/>
        <v>0.4656809815</v>
      </c>
      <c r="AE274" s="26">
        <f>P274*(1-I274)*(1+'参数表'!$C$6)*(W274+X274+H274)*1.1+0.4*1.1</f>
        <v>11.914067</v>
      </c>
      <c r="AF274" s="26">
        <f t="shared" si="10"/>
        <v>15.7220855</v>
      </c>
    </row>
    <row r="275">
      <c r="A275" s="44" t="s">
        <v>875</v>
      </c>
      <c r="C275" s="60" t="s">
        <v>876</v>
      </c>
      <c r="D275" s="2" t="s">
        <v>61</v>
      </c>
      <c r="E275" s="14"/>
      <c r="F275" s="14"/>
      <c r="G275" s="13" t="s">
        <v>877</v>
      </c>
      <c r="H275" s="3">
        <v>0.05</v>
      </c>
      <c r="I275" s="3">
        <v>0.0</v>
      </c>
      <c r="J275" s="15">
        <v>5000.0</v>
      </c>
      <c r="K275" s="16">
        <v>1300.0</v>
      </c>
      <c r="L275" s="16">
        <v>40.0</v>
      </c>
      <c r="M275" s="16">
        <v>30.0</v>
      </c>
      <c r="N275" s="16">
        <v>13.0</v>
      </c>
      <c r="O275" s="17">
        <f t="shared" si="13"/>
        <v>1950</v>
      </c>
      <c r="P275" s="18">
        <v>89.5</v>
      </c>
      <c r="Q275" s="6">
        <f t="array" ref="Q275">XLOOKUP(K275/1000, '运费（邮政）'!$A$2:$A$21, '运费（邮政）'!$B$2:$B$21, "超出范围", 1)</f>
        <v>3040</v>
      </c>
      <c r="R275" s="18">
        <v>35.0</v>
      </c>
      <c r="S275" s="19">
        <f t="shared" si="2"/>
        <v>19.95485141</v>
      </c>
      <c r="T275" s="20">
        <f t="shared" si="3"/>
        <v>124.5</v>
      </c>
      <c r="U275" s="21">
        <f t="array" ref="U275">XLOOKUP(O275/1000, '运费（橙联）'!$A$2:$A$57, '运费（橙联）'!$B$2:$B$57, "超出范围", 1)</f>
        <v>4351</v>
      </c>
      <c r="V275" s="22">
        <f>(P275*'参数表'!$C$2*(1+'参数表'!$C$3))*$B$1+'参数表'!$C$4</f>
        <v>1522.5889</v>
      </c>
      <c r="W275" s="3">
        <v>0.127</v>
      </c>
      <c r="X275" s="4">
        <v>0.0135</v>
      </c>
      <c r="Y275" s="23">
        <f t="shared" si="4"/>
        <v>1677.031955</v>
      </c>
      <c r="Z275" s="24">
        <f t="shared" si="5"/>
        <v>0.1319562479</v>
      </c>
      <c r="AA275" s="25">
        <f t="shared" si="6"/>
        <v>0.335406391</v>
      </c>
      <c r="AB275" s="23">
        <f t="shared" si="7"/>
        <v>2771.979555</v>
      </c>
      <c r="AC275" s="24">
        <f t="shared" si="8"/>
        <v>0.1567950424</v>
      </c>
      <c r="AD275" s="25">
        <f t="shared" si="9"/>
        <v>0.554395911</v>
      </c>
      <c r="AE275" s="26">
        <f>P275*(1-I275)*(1+'参数表'!$C$6)*(W275+X275+H275)*1.1+0.4*1.1</f>
        <v>21.0701975</v>
      </c>
      <c r="AF275" s="26">
        <f t="shared" si="10"/>
        <v>28.4044475</v>
      </c>
    </row>
    <row r="276">
      <c r="A276" s="44" t="s">
        <v>878</v>
      </c>
      <c r="B276" s="44" t="s">
        <v>879</v>
      </c>
      <c r="C276" s="60" t="s">
        <v>880</v>
      </c>
      <c r="D276" s="2" t="s">
        <v>61</v>
      </c>
      <c r="E276" s="14"/>
      <c r="F276" s="14"/>
      <c r="G276" s="63" t="s">
        <v>881</v>
      </c>
      <c r="H276" s="3">
        <v>0.05</v>
      </c>
      <c r="I276" s="3">
        <v>0.0</v>
      </c>
      <c r="J276" s="15">
        <v>5500.0</v>
      </c>
      <c r="K276" s="16">
        <v>180.0</v>
      </c>
      <c r="L276" s="16">
        <v>14.0</v>
      </c>
      <c r="M276" s="16">
        <v>24.0</v>
      </c>
      <c r="N276" s="16">
        <v>1.0</v>
      </c>
      <c r="O276" s="17">
        <f t="shared" si="13"/>
        <v>180</v>
      </c>
      <c r="P276" s="18">
        <v>76.8</v>
      </c>
      <c r="Q276" s="6">
        <f t="array" ref="Q276">XLOOKUP(K276/1000, '运费（邮政）'!$A$2:$A$21, '运费（邮政）'!$B$2:$B$21, "超出范围", 1)</f>
        <v>1060</v>
      </c>
      <c r="R276" s="18">
        <v>21.99</v>
      </c>
      <c r="S276" s="19">
        <f t="shared" si="2"/>
        <v>11.58775887</v>
      </c>
      <c r="T276" s="20">
        <f t="shared" si="3"/>
        <v>98.79</v>
      </c>
      <c r="U276" s="21">
        <f t="array" ref="U276">XLOOKUP(O276/1000, '运费（橙联）'!$A$2:$A$57, '运费（橙联）'!$B$2:$B$57, "超出范围", 1)</f>
        <v>1367</v>
      </c>
      <c r="V276" s="22">
        <f>(P276*'参数表'!$C$2*(1+'参数表'!$C$3))*$B$1+'参数表'!$C$4</f>
        <v>1338.46176</v>
      </c>
      <c r="W276" s="3">
        <v>0.153</v>
      </c>
      <c r="X276" s="4">
        <v>0.0135</v>
      </c>
      <c r="Y276" s="23">
        <f t="shared" si="4"/>
        <v>1426.234496</v>
      </c>
      <c r="Z276" s="24">
        <f t="shared" si="5"/>
        <v>0.1307800117</v>
      </c>
      <c r="AA276" s="25">
        <f t="shared" si="6"/>
        <v>0.2593153629</v>
      </c>
      <c r="AB276" s="23">
        <f t="shared" si="7"/>
        <v>2159.710309</v>
      </c>
      <c r="AC276" s="24">
        <f t="shared" si="8"/>
        <v>0.1539551324</v>
      </c>
      <c r="AD276" s="25">
        <f t="shared" si="9"/>
        <v>0.3926746016</v>
      </c>
      <c r="AE276" s="26">
        <f>P276*(1-I276)*(1+'参数表'!$C$6)*(W276+X276+H276)*1.1+0.4*1.1</f>
        <v>20.558912</v>
      </c>
      <c r="AF276" s="26">
        <f t="shared" si="10"/>
        <v>25.7958305</v>
      </c>
    </row>
    <row r="277">
      <c r="A277" s="44" t="s">
        <v>882</v>
      </c>
      <c r="B277" s="44" t="s">
        <v>883</v>
      </c>
      <c r="C277" s="60" t="s">
        <v>884</v>
      </c>
      <c r="D277" s="2" t="s">
        <v>61</v>
      </c>
      <c r="E277" s="14"/>
      <c r="F277" s="14"/>
      <c r="G277" s="13" t="s">
        <v>885</v>
      </c>
      <c r="H277" s="3">
        <v>0.05</v>
      </c>
      <c r="I277" s="3">
        <v>0.0</v>
      </c>
      <c r="J277" s="15">
        <v>1540.0</v>
      </c>
      <c r="K277" s="16">
        <v>120.0</v>
      </c>
      <c r="L277" s="16">
        <v>14.0</v>
      </c>
      <c r="M277" s="16">
        <v>24.0</v>
      </c>
      <c r="N277" s="16">
        <v>1.0</v>
      </c>
      <c r="O277" s="17">
        <f t="shared" si="13"/>
        <v>120</v>
      </c>
      <c r="P277" s="18">
        <v>28.8</v>
      </c>
      <c r="Q277" s="6">
        <f t="array" ref="Q277">XLOOKUP(K277/1000, '运费（邮政）'!$A$2:$A$21, '运费（邮政）'!$B$2:$B$21, "超出范围", 1)</f>
        <v>1060</v>
      </c>
      <c r="R277" s="18">
        <v>12.99</v>
      </c>
      <c r="S277" s="19">
        <f t="shared" si="2"/>
        <v>6.686958873</v>
      </c>
      <c r="T277" s="20">
        <f t="shared" si="3"/>
        <v>41.79</v>
      </c>
      <c r="U277" s="21">
        <f t="array" ref="U277">XLOOKUP(O277/1000, '运费（橙联）'!$A$2:$A$57, '运费（橙联）'!$B$2:$B$57, "超出范围", 1)</f>
        <v>1367</v>
      </c>
      <c r="V277" s="22">
        <f>(P277*'参数表'!$C$2*(1+'参数表'!$C$3))*$B$1+'参数表'!$C$4</f>
        <v>642.54816</v>
      </c>
      <c r="W277" s="3">
        <v>0.153</v>
      </c>
      <c r="X277" s="4">
        <v>0.0135</v>
      </c>
      <c r="Y277" s="23">
        <f t="shared" si="4"/>
        <v>355.787936</v>
      </c>
      <c r="Z277" s="24">
        <f t="shared" si="5"/>
        <v>0.08699822379</v>
      </c>
      <c r="AA277" s="25">
        <f t="shared" si="6"/>
        <v>0.2310311273</v>
      </c>
      <c r="AB277" s="23">
        <f t="shared" si="7"/>
        <v>811.533049</v>
      </c>
      <c r="AC277" s="24">
        <f t="shared" si="8"/>
        <v>0.1367557184</v>
      </c>
      <c r="AD277" s="25">
        <f t="shared" si="9"/>
        <v>0.5269695123</v>
      </c>
      <c r="AE277" s="26">
        <f>P277*(1-I277)*(1+'参数表'!$C$6)*(W277+X277+H277)*1.1+0.4*1.1</f>
        <v>7.984592</v>
      </c>
      <c r="AF277" s="26">
        <f t="shared" si="10"/>
        <v>11.0781605</v>
      </c>
    </row>
    <row r="278">
      <c r="A278" s="44" t="s">
        <v>886</v>
      </c>
      <c r="B278" s="44" t="s">
        <v>887</v>
      </c>
      <c r="C278" s="60" t="s">
        <v>888</v>
      </c>
      <c r="D278" s="2" t="s">
        <v>61</v>
      </c>
      <c r="E278" s="14"/>
      <c r="F278" s="14"/>
      <c r="G278" s="13" t="s">
        <v>889</v>
      </c>
      <c r="H278" s="3">
        <v>0.05</v>
      </c>
      <c r="I278" s="3">
        <v>0.0</v>
      </c>
      <c r="J278" s="15">
        <v>3080.0</v>
      </c>
      <c r="K278" s="16">
        <v>210.0</v>
      </c>
      <c r="L278" s="16">
        <v>14.0</v>
      </c>
      <c r="M278" s="16">
        <v>15.0</v>
      </c>
      <c r="N278" s="16">
        <v>2.0</v>
      </c>
      <c r="O278" s="17">
        <f t="shared" si="13"/>
        <v>210</v>
      </c>
      <c r="P278" s="18">
        <v>48.8</v>
      </c>
      <c r="Q278" s="6">
        <f t="array" ref="Q278">XLOOKUP(K278/1000, '运费（邮政）'!$A$2:$A$21, '运费（邮政）'!$B$2:$B$21, "超出范围", 1)</f>
        <v>1240</v>
      </c>
      <c r="R278" s="18">
        <v>15.99</v>
      </c>
      <c r="S278" s="19">
        <f t="shared" si="2"/>
        <v>8.968395493</v>
      </c>
      <c r="T278" s="20">
        <f t="shared" si="3"/>
        <v>64.79</v>
      </c>
      <c r="U278" s="21">
        <f t="array" ref="U278">XLOOKUP(O278/1000, '运费（橙联）'!$A$2:$A$57, '运费（橙联）'!$B$2:$B$57, "超出范围", 1)</f>
        <v>1581</v>
      </c>
      <c r="V278" s="22">
        <f>(P278*'参数表'!$C$2*(1+'参数表'!$C$3))*$B$1+'参数表'!$C$4</f>
        <v>932.51216</v>
      </c>
      <c r="W278" s="3">
        <v>0.153</v>
      </c>
      <c r="X278" s="4">
        <v>0.0135</v>
      </c>
      <c r="Y278" s="23">
        <f t="shared" si="4"/>
        <v>731.807336</v>
      </c>
      <c r="Z278" s="24">
        <f t="shared" si="5"/>
        <v>0.1056059998</v>
      </c>
      <c r="AA278" s="25">
        <f t="shared" si="6"/>
        <v>0.2375997844</v>
      </c>
      <c r="AB278" s="23">
        <f t="shared" si="7"/>
        <v>1188.136549</v>
      </c>
      <c r="AC278" s="24">
        <f t="shared" si="8"/>
        <v>0.1291427504</v>
      </c>
      <c r="AD278" s="25">
        <f t="shared" si="9"/>
        <v>0.3857586198</v>
      </c>
      <c r="AE278" s="26">
        <f>P278*(1-I278)*(1+'参数表'!$C$6)*(W278+X278+H278)*1.1+0.4*1.1</f>
        <v>13.223892</v>
      </c>
      <c r="AF278" s="26">
        <f t="shared" si="10"/>
        <v>17.0319105</v>
      </c>
    </row>
    <row r="279">
      <c r="A279" s="66" t="s">
        <v>890</v>
      </c>
      <c r="B279" s="51" t="s">
        <v>891</v>
      </c>
      <c r="C279" s="60" t="s">
        <v>892</v>
      </c>
      <c r="D279" s="2" t="s">
        <v>61</v>
      </c>
      <c r="E279" s="29"/>
      <c r="F279" s="29"/>
      <c r="G279" s="67" t="s">
        <v>893</v>
      </c>
      <c r="H279" s="68">
        <v>0.05</v>
      </c>
      <c r="I279" s="68">
        <v>0.0</v>
      </c>
      <c r="J279" s="69">
        <v>1458.0</v>
      </c>
      <c r="K279" s="70">
        <v>180.0</v>
      </c>
      <c r="L279" s="16">
        <v>14.0</v>
      </c>
      <c r="M279" s="16">
        <v>24.0</v>
      </c>
      <c r="N279" s="16">
        <v>1.0</v>
      </c>
      <c r="O279" s="71">
        <f t="shared" si="13"/>
        <v>180</v>
      </c>
      <c r="P279" s="72">
        <v>27.8</v>
      </c>
      <c r="Q279" s="73">
        <f t="array" ref="Q279">XLOOKUP(K279/1000, '运费（邮政）'!$A$2:$A$21, '运费（邮政）'!$B$2:$B$21, "超出范围", 1)</f>
        <v>1060</v>
      </c>
      <c r="R279" s="72">
        <v>12.99</v>
      </c>
      <c r="S279" s="74">
        <f t="shared" si="2"/>
        <v>6.584858873</v>
      </c>
      <c r="T279" s="75">
        <f t="shared" si="3"/>
        <v>40.79</v>
      </c>
      <c r="U279" s="76">
        <f t="array" ref="U279">XLOOKUP(O279/1000, '运费（橙联）'!$A$2:$A$57, '运费（橙联）'!$B$2:$B$57, "超出范围", 1)</f>
        <v>1367</v>
      </c>
      <c r="V279" s="77">
        <f>(P279*'参数表'!$C$2*(1+'参数表'!$C$3))*$B$1+'参数表'!$C$4</f>
        <v>628.04996</v>
      </c>
      <c r="W279" s="3">
        <v>0.153</v>
      </c>
      <c r="X279" s="78">
        <v>0.0135</v>
      </c>
      <c r="Y279" s="79">
        <f t="shared" si="4"/>
        <v>332.986966</v>
      </c>
      <c r="Z279" s="80">
        <f t="shared" si="5"/>
        <v>0.08435174942</v>
      </c>
      <c r="AA279" s="81">
        <f t="shared" si="6"/>
        <v>0.2283861221</v>
      </c>
      <c r="AB279" s="79">
        <f t="shared" si="7"/>
        <v>803.230279</v>
      </c>
      <c r="AC279" s="80">
        <f t="shared" si="8"/>
        <v>0.1386749512</v>
      </c>
      <c r="AD279" s="81">
        <f t="shared" si="9"/>
        <v>0.5509123999</v>
      </c>
      <c r="AE279" s="74">
        <f>P279*(1-I279)*(1+'参数表'!$C$6)*(W279+X279+H279)*1.1+0.4*1.1</f>
        <v>7.722627</v>
      </c>
      <c r="AF279" s="74">
        <f t="shared" si="10"/>
        <v>10.8161955</v>
      </c>
      <c r="AG279" s="29"/>
    </row>
    <row r="280">
      <c r="A280" s="51" t="s">
        <v>894</v>
      </c>
      <c r="B280" s="51" t="s">
        <v>895</v>
      </c>
      <c r="C280" s="60" t="s">
        <v>896</v>
      </c>
      <c r="D280" s="2" t="s">
        <v>61</v>
      </c>
      <c r="E280" s="29"/>
      <c r="F280" s="29"/>
      <c r="G280" s="67" t="s">
        <v>897</v>
      </c>
      <c r="H280" s="68">
        <v>0.05</v>
      </c>
      <c r="I280" s="68">
        <v>0.0</v>
      </c>
      <c r="J280" s="69">
        <v>3660.0</v>
      </c>
      <c r="K280" s="70">
        <v>210.0</v>
      </c>
      <c r="L280" s="82">
        <v>19.0</v>
      </c>
      <c r="M280" s="82">
        <v>15.0</v>
      </c>
      <c r="N280" s="83">
        <v>2.0</v>
      </c>
      <c r="O280" s="71">
        <f t="shared" si="13"/>
        <v>210</v>
      </c>
      <c r="P280" s="72">
        <v>56.8</v>
      </c>
      <c r="Q280" s="73">
        <f t="array" ref="Q280">XLOOKUP(K280/1000, '运费（邮政）'!$A$2:$A$21, '运费（邮政）'!$B$2:$B$21, "超出范围", 1)</f>
        <v>1240</v>
      </c>
      <c r="R280" s="72">
        <v>18.99</v>
      </c>
      <c r="S280" s="74">
        <f t="shared" si="2"/>
        <v>9.785195493</v>
      </c>
      <c r="T280" s="75">
        <f t="shared" si="3"/>
        <v>75.79</v>
      </c>
      <c r="U280" s="76">
        <f t="array" ref="U280">XLOOKUP(O280/1000, '运费（橙联）'!$A$2:$A$57, '运费（橙联）'!$B$2:$B$57, "超出范围", 1)</f>
        <v>1581</v>
      </c>
      <c r="V280" s="77">
        <f>(P280*'参数表'!$C$2*(1+'参数表'!$C$3))*$B$1+'参数表'!$C$4</f>
        <v>1048.49776</v>
      </c>
      <c r="W280" s="3">
        <v>0.153</v>
      </c>
      <c r="X280" s="78">
        <v>0.0135</v>
      </c>
      <c r="Y280" s="79">
        <f t="shared" si="4"/>
        <v>990.215096</v>
      </c>
      <c r="Z280" s="80">
        <f t="shared" si="5"/>
        <v>0.1227701716</v>
      </c>
      <c r="AA280" s="81">
        <f t="shared" si="6"/>
        <v>0.2705505727</v>
      </c>
      <c r="AB280" s="79">
        <f t="shared" si="7"/>
        <v>1655.106809</v>
      </c>
      <c r="AC280" s="80">
        <f t="shared" si="8"/>
        <v>0.1537891774</v>
      </c>
      <c r="AD280" s="81">
        <f t="shared" si="9"/>
        <v>0.4522149751</v>
      </c>
      <c r="AE280" s="74">
        <f>P280*(1-I280)*(1+'参数表'!$C$6)*(W280+X280+H280)*1.1+0.4*1.1</f>
        <v>15.319612</v>
      </c>
      <c r="AF280" s="74">
        <f t="shared" si="10"/>
        <v>19.8420805</v>
      </c>
      <c r="AG280" s="29"/>
    </row>
    <row r="281">
      <c r="A281" s="51" t="s">
        <v>898</v>
      </c>
      <c r="B281" s="51" t="s">
        <v>899</v>
      </c>
      <c r="C281" s="60" t="s">
        <v>900</v>
      </c>
      <c r="D281" s="2" t="s">
        <v>61</v>
      </c>
      <c r="E281" s="29"/>
      <c r="F281" s="29"/>
      <c r="G281" s="67" t="s">
        <v>901</v>
      </c>
      <c r="H281" s="68">
        <v>0.05</v>
      </c>
      <c r="I281" s="68">
        <v>0.0</v>
      </c>
      <c r="J281" s="69">
        <v>1430.0</v>
      </c>
      <c r="K281" s="70">
        <v>120.0</v>
      </c>
      <c r="L281" s="16">
        <v>14.0</v>
      </c>
      <c r="M281" s="16">
        <v>24.0</v>
      </c>
      <c r="N281" s="16">
        <v>1.0</v>
      </c>
      <c r="O281" s="71">
        <f t="shared" si="13"/>
        <v>120</v>
      </c>
      <c r="P281" s="72">
        <v>27.8</v>
      </c>
      <c r="Q281" s="73">
        <f t="array" ref="Q281">XLOOKUP(K281/1000, '运费（邮政）'!$A$2:$A$21, '运费（邮政）'!$B$2:$B$21, "超出范围", 1)</f>
        <v>1060</v>
      </c>
      <c r="R281" s="72">
        <v>12.99</v>
      </c>
      <c r="S281" s="74">
        <f t="shared" si="2"/>
        <v>6.584858873</v>
      </c>
      <c r="T281" s="75">
        <f t="shared" si="3"/>
        <v>40.79</v>
      </c>
      <c r="U281" s="76">
        <f t="array" ref="U281">XLOOKUP(O281/1000, '运费（橙联）'!$A$2:$A$57, '运费（橙联）'!$B$2:$B$57, "超出范围", 1)</f>
        <v>1367</v>
      </c>
      <c r="V281" s="77">
        <f>(P281*'参数表'!$C$2*(1+'参数表'!$C$3))*$B$1+'参数表'!$C$4</f>
        <v>628.04996</v>
      </c>
      <c r="W281" s="3">
        <v>0.153</v>
      </c>
      <c r="X281" s="78">
        <v>0.0135</v>
      </c>
      <c r="Y281" s="79">
        <f t="shared" si="4"/>
        <v>360.986966</v>
      </c>
      <c r="Z281" s="80">
        <f t="shared" si="5"/>
        <v>0.09144466663</v>
      </c>
      <c r="AA281" s="81">
        <f t="shared" si="6"/>
        <v>0.2524384378</v>
      </c>
      <c r="AB281" s="79">
        <f t="shared" si="7"/>
        <v>831.230279</v>
      </c>
      <c r="AC281" s="80">
        <f t="shared" si="8"/>
        <v>0.1435090551</v>
      </c>
      <c r="AD281" s="81">
        <f t="shared" si="9"/>
        <v>0.5812799154</v>
      </c>
      <c r="AE281" s="74">
        <f>P281*(1-I281)*(1+'参数表'!$C$6)*(W281+X281+H281)*1.1+0.4*1.1</f>
        <v>7.722627</v>
      </c>
      <c r="AF281" s="74">
        <f t="shared" si="10"/>
        <v>10.8161955</v>
      </c>
      <c r="AG281" s="29"/>
    </row>
    <row r="282">
      <c r="A282" s="51" t="s">
        <v>902</v>
      </c>
      <c r="B282" s="51" t="s">
        <v>903</v>
      </c>
      <c r="C282" s="60" t="s">
        <v>904</v>
      </c>
      <c r="D282" s="2" t="s">
        <v>61</v>
      </c>
      <c r="E282" s="29"/>
      <c r="F282" s="29"/>
      <c r="G282" s="67" t="s">
        <v>905</v>
      </c>
      <c r="H282" s="68">
        <v>0.05</v>
      </c>
      <c r="I282" s="68">
        <v>0.0</v>
      </c>
      <c r="J282" s="69">
        <v>1101.0</v>
      </c>
      <c r="K282" s="70">
        <v>180.0</v>
      </c>
      <c r="L282" s="16">
        <v>14.0</v>
      </c>
      <c r="M282" s="16">
        <v>24.0</v>
      </c>
      <c r="N282" s="16">
        <v>1.0</v>
      </c>
      <c r="O282" s="71">
        <f t="shared" si="13"/>
        <v>180</v>
      </c>
      <c r="P282" s="72">
        <v>23.8</v>
      </c>
      <c r="Q282" s="73">
        <f t="array" ref="Q282">XLOOKUP(K282/1000, '运费（邮政）'!$A$2:$A$21, '运费（邮政）'!$B$2:$B$21, "超出范围", 1)</f>
        <v>1060</v>
      </c>
      <c r="R282" s="72">
        <v>9.99</v>
      </c>
      <c r="S282" s="74">
        <f t="shared" si="2"/>
        <v>6.176458873</v>
      </c>
      <c r="T282" s="75">
        <f t="shared" si="3"/>
        <v>33.79</v>
      </c>
      <c r="U282" s="76">
        <f t="array" ref="U282">XLOOKUP(O282/1000, '运费（橙联）'!$A$2:$A$57, '运费（橙联）'!$B$2:$B$57, "超出范围", 1)</f>
        <v>1367</v>
      </c>
      <c r="V282" s="77">
        <f>(P282*'参数表'!$C$2*(1+'参数表'!$C$3))*$B$1+'参数表'!$C$4</f>
        <v>570.05716</v>
      </c>
      <c r="W282" s="3">
        <v>0.153</v>
      </c>
      <c r="X282" s="78">
        <v>0.0135</v>
      </c>
      <c r="Y282" s="79">
        <f t="shared" si="4"/>
        <v>270.783086</v>
      </c>
      <c r="Z282" s="80">
        <f t="shared" si="5"/>
        <v>0.08012282104</v>
      </c>
      <c r="AA282" s="81">
        <f t="shared" si="6"/>
        <v>0.2459428574</v>
      </c>
      <c r="AB282" s="79">
        <f t="shared" si="7"/>
        <v>474.471099</v>
      </c>
      <c r="AC282" s="80">
        <f t="shared" si="8"/>
        <v>0.09888563976</v>
      </c>
      <c r="AD282" s="81">
        <f t="shared" si="9"/>
        <v>0.430945594</v>
      </c>
      <c r="AE282" s="74">
        <f>P282*(1-I282)*(1+'参数表'!$C$6)*(W282+X282+H282)*1.1+0.4*1.1</f>
        <v>6.674767</v>
      </c>
      <c r="AF282" s="74">
        <f t="shared" si="10"/>
        <v>9.0538855</v>
      </c>
      <c r="AG282" s="29"/>
    </row>
    <row r="283">
      <c r="A283" s="51" t="s">
        <v>906</v>
      </c>
      <c r="B283" s="51" t="s">
        <v>907</v>
      </c>
      <c r="C283" s="60" t="s">
        <v>908</v>
      </c>
      <c r="D283" s="2" t="s">
        <v>61</v>
      </c>
      <c r="E283" s="29"/>
      <c r="F283" s="29"/>
      <c r="G283" s="67" t="s">
        <v>909</v>
      </c>
      <c r="H283" s="68">
        <v>0.05</v>
      </c>
      <c r="I283" s="68">
        <v>0.0</v>
      </c>
      <c r="J283" s="69">
        <v>2075.0</v>
      </c>
      <c r="K283" s="70">
        <v>120.0</v>
      </c>
      <c r="L283" s="16">
        <v>14.0</v>
      </c>
      <c r="M283" s="16">
        <v>24.0</v>
      </c>
      <c r="N283" s="16">
        <v>1.0</v>
      </c>
      <c r="O283" s="71">
        <f t="shared" si="13"/>
        <v>120</v>
      </c>
      <c r="P283" s="72">
        <v>35.8</v>
      </c>
      <c r="Q283" s="73">
        <f t="array" ref="Q283">XLOOKUP(K283/1000, '运费（邮政）'!$A$2:$A$21, '运费（邮政）'!$B$2:$B$21, "超出范围", 1)</f>
        <v>1060</v>
      </c>
      <c r="R283" s="72">
        <v>12.99</v>
      </c>
      <c r="S283" s="74">
        <f t="shared" si="2"/>
        <v>7.401658873</v>
      </c>
      <c r="T283" s="75">
        <f t="shared" si="3"/>
        <v>48.79</v>
      </c>
      <c r="U283" s="76">
        <f t="array" ref="U283">XLOOKUP(O283/1000, '运费（橙联）'!$A$2:$A$57, '运费（橙联）'!$B$2:$B$57, "超出范围", 1)</f>
        <v>1367</v>
      </c>
      <c r="V283" s="77">
        <f>(P283*'参数表'!$C$2*(1+'参数表'!$C$3))*$B$1+'参数表'!$C$4</f>
        <v>744.03556</v>
      </c>
      <c r="W283" s="3">
        <v>0.153</v>
      </c>
      <c r="X283" s="78">
        <v>0.0135</v>
      </c>
      <c r="Y283" s="79">
        <f t="shared" si="4"/>
        <v>554.394726</v>
      </c>
      <c r="Z283" s="80">
        <f t="shared" si="5"/>
        <v>0.1090555366</v>
      </c>
      <c r="AA283" s="81">
        <f t="shared" si="6"/>
        <v>0.2671781812</v>
      </c>
      <c r="AB283" s="79">
        <f t="shared" si="7"/>
        <v>908.652439</v>
      </c>
      <c r="AC283" s="80">
        <f t="shared" si="8"/>
        <v>0.1311531223</v>
      </c>
      <c r="AD283" s="81">
        <f t="shared" si="9"/>
        <v>0.4379047899</v>
      </c>
      <c r="AE283" s="74">
        <f>P283*(1-I283)*(1+'参数表'!$C$6)*(W283+X283+H283)*1.1+0.4*1.1</f>
        <v>9.818347</v>
      </c>
      <c r="AF283" s="74">
        <f t="shared" si="10"/>
        <v>12.9119155</v>
      </c>
      <c r="AG283" s="29"/>
    </row>
    <row r="284">
      <c r="A284" s="51" t="s">
        <v>910</v>
      </c>
      <c r="B284" s="51" t="s">
        <v>911</v>
      </c>
      <c r="C284" s="60" t="s">
        <v>912</v>
      </c>
      <c r="D284" s="2" t="s">
        <v>61</v>
      </c>
      <c r="E284" s="29"/>
      <c r="F284" s="29"/>
      <c r="G284" s="67" t="s">
        <v>913</v>
      </c>
      <c r="H284" s="68">
        <v>0.05</v>
      </c>
      <c r="I284" s="68">
        <v>0.0</v>
      </c>
      <c r="J284" s="69">
        <v>2420.0</v>
      </c>
      <c r="K284" s="70">
        <v>120.0</v>
      </c>
      <c r="L284" s="16">
        <v>14.0</v>
      </c>
      <c r="M284" s="16">
        <v>24.0</v>
      </c>
      <c r="N284" s="16">
        <v>1.0</v>
      </c>
      <c r="O284" s="71">
        <f t="shared" si="13"/>
        <v>120</v>
      </c>
      <c r="P284" s="72">
        <v>39.8</v>
      </c>
      <c r="Q284" s="73">
        <f t="array" ref="Q284">XLOOKUP(K284/1000, '运费（邮政）'!$A$2:$A$21, '运费（邮政）'!$B$2:$B$21, "超出范围", 1)</f>
        <v>1060</v>
      </c>
      <c r="R284" s="72">
        <v>12.99</v>
      </c>
      <c r="S284" s="74">
        <f t="shared" si="2"/>
        <v>7.810058873</v>
      </c>
      <c r="T284" s="75">
        <f t="shared" si="3"/>
        <v>52.79</v>
      </c>
      <c r="U284" s="76">
        <f t="array" ref="U284">XLOOKUP(O284/1000, '运费（橙联）'!$A$2:$A$57, '运费（橙联）'!$B$2:$B$57, "超出范围", 1)</f>
        <v>1367</v>
      </c>
      <c r="V284" s="77">
        <f>(P284*'参数表'!$C$2*(1+'参数表'!$C$3))*$B$1+'参数表'!$C$4</f>
        <v>802.02836</v>
      </c>
      <c r="W284" s="3">
        <v>0.153</v>
      </c>
      <c r="X284" s="78">
        <v>0.0135</v>
      </c>
      <c r="Y284" s="79">
        <f t="shared" si="4"/>
        <v>628.598606</v>
      </c>
      <c r="Z284" s="80">
        <f t="shared" si="5"/>
        <v>0.1112248931</v>
      </c>
      <c r="AA284" s="81">
        <f t="shared" si="6"/>
        <v>0.2597514901</v>
      </c>
      <c r="AB284" s="79">
        <f t="shared" si="7"/>
        <v>924.863519</v>
      </c>
      <c r="AC284" s="80">
        <f t="shared" si="8"/>
        <v>0.1233779764</v>
      </c>
      <c r="AD284" s="81">
        <f t="shared" si="9"/>
        <v>0.3821750079</v>
      </c>
      <c r="AE284" s="74">
        <f>P284*(1-I284)*(1+'参数表'!$C$6)*(W284+X284+H284)*1.1+0.4*1.1</f>
        <v>10.866207</v>
      </c>
      <c r="AF284" s="74">
        <f t="shared" si="10"/>
        <v>13.9597755</v>
      </c>
      <c r="AG284" s="29"/>
    </row>
    <row r="285">
      <c r="A285" s="51" t="s">
        <v>914</v>
      </c>
      <c r="B285" s="51" t="s">
        <v>915</v>
      </c>
      <c r="C285" s="60" t="s">
        <v>916</v>
      </c>
      <c r="D285" s="2" t="s">
        <v>61</v>
      </c>
      <c r="E285" s="29"/>
      <c r="F285" s="29"/>
      <c r="G285" s="67" t="s">
        <v>917</v>
      </c>
      <c r="H285" s="68">
        <v>0.05</v>
      </c>
      <c r="I285" s="68">
        <v>0.0</v>
      </c>
      <c r="J285" s="69">
        <v>9000.0</v>
      </c>
      <c r="K285" s="70">
        <v>180.0</v>
      </c>
      <c r="L285" s="16">
        <v>14.0</v>
      </c>
      <c r="M285" s="16">
        <v>24.0</v>
      </c>
      <c r="N285" s="16">
        <v>1.0</v>
      </c>
      <c r="O285" s="71">
        <f t="shared" si="13"/>
        <v>180</v>
      </c>
      <c r="P285" s="72">
        <v>123.0</v>
      </c>
      <c r="Q285" s="73">
        <f t="array" ref="Q285">XLOOKUP(K285/1000, '运费（邮政）'!$A$2:$A$21, '运费（邮政）'!$B$2:$B$21, "超出范围", 1)</f>
        <v>1060</v>
      </c>
      <c r="R285" s="72">
        <v>24.99</v>
      </c>
      <c r="S285" s="74">
        <f t="shared" si="2"/>
        <v>16.30477887</v>
      </c>
      <c r="T285" s="75">
        <f t="shared" si="3"/>
        <v>147.99</v>
      </c>
      <c r="U285" s="76">
        <f t="array" ref="U285">XLOOKUP(O285/1000, '运费（橙联）'!$A$2:$A$57, '运费（橙联）'!$B$2:$B$57, "超出范围", 1)</f>
        <v>1367</v>
      </c>
      <c r="V285" s="77">
        <f>(P285*'参数表'!$C$2*(1+'参数表'!$C$3))*$B$1+'参数表'!$C$4</f>
        <v>2008.2786</v>
      </c>
      <c r="W285" s="3">
        <v>0.153</v>
      </c>
      <c r="X285" s="78">
        <v>0.0135</v>
      </c>
      <c r="Y285" s="79">
        <f t="shared" si="4"/>
        <v>2768.03931</v>
      </c>
      <c r="Z285" s="80">
        <f t="shared" si="5"/>
        <v>0.1584815819</v>
      </c>
      <c r="AA285" s="81">
        <f t="shared" si="6"/>
        <v>0.3075599233</v>
      </c>
      <c r="AB285" s="79">
        <f t="shared" si="7"/>
        <v>3156.246383</v>
      </c>
      <c r="AC285" s="80">
        <f t="shared" si="8"/>
        <v>0.1501931698</v>
      </c>
      <c r="AD285" s="81">
        <f t="shared" si="9"/>
        <v>0.3506940426</v>
      </c>
      <c r="AE285" s="74">
        <f>P285*(1-I285)*(1+'参数表'!$C$6)*(W285+X285+H285)*1.1+0.4*1.1</f>
        <v>32.661695</v>
      </c>
      <c r="AF285" s="74">
        <f t="shared" si="10"/>
        <v>38.6130635</v>
      </c>
      <c r="AG285" s="29"/>
    </row>
    <row r="286">
      <c r="A286" s="51" t="s">
        <v>918</v>
      </c>
      <c r="B286" s="51" t="s">
        <v>919</v>
      </c>
      <c r="C286" s="60" t="s">
        <v>920</v>
      </c>
      <c r="D286" s="2" t="s">
        <v>61</v>
      </c>
      <c r="E286" s="29"/>
      <c r="F286" s="29"/>
      <c r="G286" s="57" t="s">
        <v>921</v>
      </c>
      <c r="H286" s="68">
        <v>0.05</v>
      </c>
      <c r="I286" s="68">
        <v>0.0</v>
      </c>
      <c r="J286" s="69">
        <v>1999.0</v>
      </c>
      <c r="K286" s="70">
        <v>180.0</v>
      </c>
      <c r="L286" s="82">
        <v>16.0</v>
      </c>
      <c r="M286" s="82">
        <v>8.0</v>
      </c>
      <c r="N286" s="82">
        <v>5.0</v>
      </c>
      <c r="O286" s="71">
        <f t="shared" si="13"/>
        <v>180</v>
      </c>
      <c r="P286" s="72">
        <v>34.8</v>
      </c>
      <c r="Q286" s="73">
        <f t="array" ref="Q286">XLOOKUP(K286/1000, '运费（邮政）'!$A$2:$A$21, '运费（邮政）'!$B$2:$B$21, "超出范围", 1)</f>
        <v>1060</v>
      </c>
      <c r="R286" s="72">
        <v>12.99</v>
      </c>
      <c r="S286" s="74">
        <f t="shared" si="2"/>
        <v>7.299558873</v>
      </c>
      <c r="T286" s="75">
        <f t="shared" si="3"/>
        <v>47.79</v>
      </c>
      <c r="U286" s="76">
        <f t="array" ref="U286">XLOOKUP(O286/1000, '运费（橙联）'!$A$2:$A$57, '运费（橙联）'!$B$2:$B$57, "超出范围", 1)</f>
        <v>1367</v>
      </c>
      <c r="V286" s="77">
        <f>(P286*'参数表'!$C$2*(1+'参数表'!$C$3))*$B$1+'参数表'!$C$4</f>
        <v>729.53736</v>
      </c>
      <c r="W286" s="3">
        <v>0.127</v>
      </c>
      <c r="X286" s="78">
        <v>0.0135</v>
      </c>
      <c r="Y286" s="79">
        <f t="shared" si="4"/>
        <v>681.056492</v>
      </c>
      <c r="Z286" s="80">
        <f t="shared" si="5"/>
        <v>0.1378210482</v>
      </c>
      <c r="AA286" s="81">
        <f t="shared" si="6"/>
        <v>0.3406985953</v>
      </c>
      <c r="AB286" s="79">
        <f t="shared" si="7"/>
        <v>1102.567393</v>
      </c>
      <c r="AC286" s="80">
        <f t="shared" si="8"/>
        <v>0.1624724651</v>
      </c>
      <c r="AD286" s="81">
        <f t="shared" si="9"/>
        <v>0.5515594762</v>
      </c>
      <c r="AE286" s="74">
        <f>P286*(1-I286)*(1+'参数表'!$C$6)*(W286+X286+H286)*1.1+0.4*1.1</f>
        <v>8.461574</v>
      </c>
      <c r="AF286" s="74">
        <f t="shared" si="10"/>
        <v>11.1836285</v>
      </c>
      <c r="AG286" s="29"/>
    </row>
    <row r="287">
      <c r="A287" s="51" t="s">
        <v>922</v>
      </c>
      <c r="B287" s="51" t="s">
        <v>923</v>
      </c>
      <c r="C287" s="60" t="s">
        <v>924</v>
      </c>
      <c r="D287" s="2" t="s">
        <v>61</v>
      </c>
      <c r="E287" s="29"/>
      <c r="F287" s="29"/>
      <c r="G287" s="57" t="s">
        <v>925</v>
      </c>
      <c r="H287" s="68">
        <v>0.05</v>
      </c>
      <c r="I287" s="68">
        <v>0.0</v>
      </c>
      <c r="J287" s="69">
        <v>1300.0</v>
      </c>
      <c r="K287" s="70">
        <v>180.0</v>
      </c>
      <c r="L287" s="82">
        <v>12.0</v>
      </c>
      <c r="M287" s="82">
        <v>8.0</v>
      </c>
      <c r="N287" s="82">
        <v>4.0</v>
      </c>
      <c r="O287" s="71">
        <f t="shared" si="13"/>
        <v>180</v>
      </c>
      <c r="P287" s="72">
        <v>26.8</v>
      </c>
      <c r="Q287" s="73">
        <f t="array" ref="Q287">XLOOKUP(K287/1000, '运费（邮政）'!$A$2:$A$21, '运费（邮政）'!$B$2:$B$21, "超出范围", 1)</f>
        <v>1060</v>
      </c>
      <c r="R287" s="72">
        <v>9.99</v>
      </c>
      <c r="S287" s="74">
        <f t="shared" si="2"/>
        <v>6.482758873</v>
      </c>
      <c r="T287" s="75">
        <f t="shared" si="3"/>
        <v>36.79</v>
      </c>
      <c r="U287" s="76">
        <f t="array" ref="U287">XLOOKUP(O287/1000, '运费（橙联）'!$A$2:$A$57, '运费（橙联）'!$B$2:$B$57, "超出范围", 1)</f>
        <v>1367</v>
      </c>
      <c r="V287" s="77">
        <f>(P287*'参数表'!$C$2*(1+'参数表'!$C$3))*$B$1+'参数表'!$C$4</f>
        <v>613.55176</v>
      </c>
      <c r="W287" s="68">
        <v>0.127</v>
      </c>
      <c r="X287" s="78">
        <v>0.0135</v>
      </c>
      <c r="Y287" s="79">
        <f t="shared" si="4"/>
        <v>505.910172</v>
      </c>
      <c r="Z287" s="80">
        <f t="shared" si="5"/>
        <v>0.1329383466</v>
      </c>
      <c r="AA287" s="81">
        <f t="shared" si="6"/>
        <v>0.3891616708</v>
      </c>
      <c r="AB287" s="79">
        <f t="shared" si="7"/>
        <v>706.674973</v>
      </c>
      <c r="AC287" s="80">
        <f t="shared" si="8"/>
        <v>0.1352700276</v>
      </c>
      <c r="AD287" s="81">
        <f t="shared" si="9"/>
        <v>0.5435961331</v>
      </c>
      <c r="AE287" s="74">
        <f>P287*(1-I287)*(1+'参数表'!$C$6)*(W287+X287+H287)*1.1+0.4*1.1</f>
        <v>6.617534</v>
      </c>
      <c r="AF287" s="74">
        <f t="shared" si="10"/>
        <v>8.7109385</v>
      </c>
      <c r="AG287" s="29"/>
    </row>
    <row r="288">
      <c r="A288" s="51" t="s">
        <v>926</v>
      </c>
      <c r="B288" s="51" t="s">
        <v>927</v>
      </c>
      <c r="C288" s="60" t="s">
        <v>928</v>
      </c>
      <c r="D288" s="2" t="s">
        <v>61</v>
      </c>
      <c r="E288" s="29"/>
      <c r="F288" s="29"/>
      <c r="G288" s="67" t="s">
        <v>929</v>
      </c>
      <c r="H288" s="68">
        <v>0.05</v>
      </c>
      <c r="I288" s="68">
        <v>0.0</v>
      </c>
      <c r="J288" s="69">
        <v>2800.0</v>
      </c>
      <c r="K288" s="70">
        <v>220.0</v>
      </c>
      <c r="L288" s="82">
        <v>16.0</v>
      </c>
      <c r="M288" s="82">
        <v>13.0</v>
      </c>
      <c r="N288" s="82">
        <v>10.0</v>
      </c>
      <c r="O288" s="71">
        <f t="shared" si="13"/>
        <v>260</v>
      </c>
      <c r="P288" s="72">
        <v>43.8</v>
      </c>
      <c r="Q288" s="73">
        <f t="array" ref="Q288">XLOOKUP(K288/1000, '运费（邮政）'!$A$2:$A$21, '运费（邮政）'!$B$2:$B$21, "超出范围", 1)</f>
        <v>1240</v>
      </c>
      <c r="R288" s="72">
        <v>15.99</v>
      </c>
      <c r="S288" s="74">
        <f t="shared" si="2"/>
        <v>8.457895493</v>
      </c>
      <c r="T288" s="75">
        <f t="shared" si="3"/>
        <v>59.79</v>
      </c>
      <c r="U288" s="76">
        <f t="array" ref="U288">XLOOKUP(O288/1000, '运费（橙联）'!$A$2:$A$57, '运费（橙联）'!$B$2:$B$57, "超出范围", 1)</f>
        <v>1581</v>
      </c>
      <c r="V288" s="77">
        <f>(P288*'参数表'!$C$2*(1+'参数表'!$C$3))*$B$1+'参数表'!$C$4</f>
        <v>860.02116</v>
      </c>
      <c r="W288" s="68">
        <v>0.127</v>
      </c>
      <c r="X288" s="78">
        <v>0.0135</v>
      </c>
      <c r="Y288" s="79">
        <f t="shared" si="4"/>
        <v>683.471102</v>
      </c>
      <c r="Z288" s="80">
        <f t="shared" si="5"/>
        <v>0.1098898807</v>
      </c>
      <c r="AA288" s="81">
        <f t="shared" si="6"/>
        <v>0.2440968221</v>
      </c>
      <c r="AB288" s="79">
        <f t="shared" si="7"/>
        <v>1277.229903</v>
      </c>
      <c r="AC288" s="80">
        <f t="shared" si="8"/>
        <v>0.1504361395</v>
      </c>
      <c r="AD288" s="81">
        <f t="shared" si="9"/>
        <v>0.4561535368</v>
      </c>
      <c r="AE288" s="74">
        <f>P288*(1-I288)*(1+'参数表'!$C$6)*(W288+X288+H288)*1.1+0.4*1.1</f>
        <v>10.536119</v>
      </c>
      <c r="AF288" s="74">
        <f t="shared" si="10"/>
        <v>13.8868235</v>
      </c>
      <c r="AG288" s="29"/>
    </row>
    <row r="289">
      <c r="A289" s="51" t="s">
        <v>930</v>
      </c>
      <c r="B289" s="51" t="s">
        <v>931</v>
      </c>
      <c r="C289" s="60" t="s">
        <v>932</v>
      </c>
      <c r="D289" s="2" t="s">
        <v>61</v>
      </c>
      <c r="E289" s="29"/>
      <c r="F289" s="29"/>
      <c r="G289" s="67" t="s">
        <v>933</v>
      </c>
      <c r="H289" s="68">
        <v>0.05</v>
      </c>
      <c r="I289" s="68">
        <v>0.0</v>
      </c>
      <c r="J289" s="69">
        <v>2827.0</v>
      </c>
      <c r="K289" s="70">
        <v>140.0</v>
      </c>
      <c r="L289" s="82">
        <v>5.0</v>
      </c>
      <c r="M289" s="82">
        <v>4.0</v>
      </c>
      <c r="N289" s="82">
        <v>8.0</v>
      </c>
      <c r="O289" s="71">
        <f t="shared" si="13"/>
        <v>140</v>
      </c>
      <c r="P289" s="72">
        <v>43.8</v>
      </c>
      <c r="Q289" s="73">
        <f t="array" ref="Q289">XLOOKUP(K289/1000, '运费（邮政）'!$A$2:$A$21, '运费（邮政）'!$B$2:$B$21, "超出范围", 1)</f>
        <v>1060</v>
      </c>
      <c r="R289" s="72">
        <v>12.99</v>
      </c>
      <c r="S289" s="74">
        <f t="shared" si="2"/>
        <v>8.218458873</v>
      </c>
      <c r="T289" s="75">
        <f t="shared" si="3"/>
        <v>56.79</v>
      </c>
      <c r="U289" s="76">
        <f t="array" ref="U289">XLOOKUP(O289/1000, '运费（橙联）'!$A$2:$A$57, '运费（橙联）'!$B$2:$B$57, "超出范围", 1)</f>
        <v>1367</v>
      </c>
      <c r="V289" s="77">
        <f>(P289*'参数表'!$C$2*(1+'参数表'!$C$3))*$B$1+'参数表'!$C$4</f>
        <v>860.02116</v>
      </c>
      <c r="W289" s="68">
        <v>0.127</v>
      </c>
      <c r="X289" s="78">
        <v>0.0135</v>
      </c>
      <c r="Y289" s="79">
        <f t="shared" si="4"/>
        <v>836.471102</v>
      </c>
      <c r="Z289" s="80">
        <f t="shared" si="5"/>
        <v>0.1344895334</v>
      </c>
      <c r="AA289" s="81">
        <f t="shared" si="6"/>
        <v>0.2958864881</v>
      </c>
      <c r="AB289" s="79">
        <f t="shared" si="7"/>
        <v>1127.498203</v>
      </c>
      <c r="AC289" s="80">
        <f t="shared" si="8"/>
        <v>0.1398156047</v>
      </c>
      <c r="AD289" s="81">
        <f t="shared" si="9"/>
        <v>0.3988320492</v>
      </c>
      <c r="AE289" s="74">
        <f>P289*(1-I289)*(1+'参数表'!$C$6)*(W289+X289+H289)*1.1+0.4*1.1</f>
        <v>10.536119</v>
      </c>
      <c r="AF289" s="74">
        <f t="shared" si="10"/>
        <v>13.2581735</v>
      </c>
      <c r="AG289" s="29"/>
    </row>
    <row r="290">
      <c r="A290" s="51" t="s">
        <v>934</v>
      </c>
      <c r="B290" s="51" t="s">
        <v>935</v>
      </c>
      <c r="C290" s="60" t="s">
        <v>936</v>
      </c>
      <c r="D290" s="2" t="s">
        <v>61</v>
      </c>
      <c r="E290" s="29"/>
      <c r="F290" s="29"/>
      <c r="G290" s="67" t="s">
        <v>937</v>
      </c>
      <c r="H290" s="68">
        <v>0.05</v>
      </c>
      <c r="I290" s="68">
        <v>0.0</v>
      </c>
      <c r="J290" s="69">
        <v>3380.0</v>
      </c>
      <c r="K290" s="70">
        <v>150.0</v>
      </c>
      <c r="L290" s="82">
        <v>8.0</v>
      </c>
      <c r="M290" s="82">
        <v>8.0</v>
      </c>
      <c r="N290" s="82">
        <v>6.0</v>
      </c>
      <c r="O290" s="71">
        <f t="shared" si="13"/>
        <v>150</v>
      </c>
      <c r="P290" s="72">
        <v>49.8</v>
      </c>
      <c r="Q290" s="73">
        <f t="array" ref="Q290">XLOOKUP(K290/1000, '运费（邮政）'!$A$2:$A$21, '运费（邮政）'!$B$2:$B$21, "超出范围", 1)</f>
        <v>1060</v>
      </c>
      <c r="R290" s="72">
        <v>15.99</v>
      </c>
      <c r="S290" s="74">
        <f t="shared" si="2"/>
        <v>8.831058873</v>
      </c>
      <c r="T290" s="75">
        <f t="shared" si="3"/>
        <v>65.79</v>
      </c>
      <c r="U290" s="76">
        <f t="array" ref="U290">XLOOKUP(O290/1000, '运费（橙联）'!$A$2:$A$57, '运费（橙联）'!$B$2:$B$57, "超出范围", 1)</f>
        <v>1367</v>
      </c>
      <c r="V290" s="77">
        <f>(P290*'参数表'!$C$2*(1+'参数表'!$C$3))*$B$1+'参数表'!$C$4</f>
        <v>947.01036</v>
      </c>
      <c r="W290" s="68">
        <v>0.127</v>
      </c>
      <c r="X290" s="78">
        <v>0.0135</v>
      </c>
      <c r="Y290" s="79">
        <f t="shared" si="4"/>
        <v>939.080842</v>
      </c>
      <c r="Z290" s="80">
        <f t="shared" si="5"/>
        <v>0.1327960917</v>
      </c>
      <c r="AA290" s="81">
        <f t="shared" si="6"/>
        <v>0.2778345686</v>
      </c>
      <c r="AB290" s="79">
        <f t="shared" si="7"/>
        <v>1479.850443</v>
      </c>
      <c r="AC290" s="80">
        <f t="shared" si="8"/>
        <v>0.1584052591</v>
      </c>
      <c r="AD290" s="81">
        <f t="shared" si="9"/>
        <v>0.4378255749</v>
      </c>
      <c r="AE290" s="74">
        <f>P290*(1-I290)*(1+'参数表'!$C$6)*(W290+X290+H290)*1.1+0.4*1.1</f>
        <v>11.919149</v>
      </c>
      <c r="AF290" s="74">
        <f t="shared" si="10"/>
        <v>15.2698535</v>
      </c>
      <c r="AG290" s="29"/>
    </row>
    <row r="291">
      <c r="A291" s="44" t="s">
        <v>938</v>
      </c>
      <c r="B291" s="44" t="s">
        <v>939</v>
      </c>
      <c r="C291" s="60" t="s">
        <v>940</v>
      </c>
      <c r="D291" s="2" t="s">
        <v>61</v>
      </c>
      <c r="E291" s="14"/>
      <c r="F291" s="14"/>
      <c r="G291" s="13" t="s">
        <v>941</v>
      </c>
      <c r="H291" s="3">
        <v>0.05</v>
      </c>
      <c r="I291" s="3">
        <v>0.0</v>
      </c>
      <c r="J291" s="15">
        <v>2164.0</v>
      </c>
      <c r="K291" s="16">
        <v>210.0</v>
      </c>
      <c r="L291" s="16">
        <v>5.0</v>
      </c>
      <c r="M291" s="16">
        <v>15.0</v>
      </c>
      <c r="N291" s="16">
        <v>11.0</v>
      </c>
      <c r="O291" s="17">
        <f t="shared" si="13"/>
        <v>210</v>
      </c>
      <c r="P291" s="18">
        <v>36.8</v>
      </c>
      <c r="Q291" s="6">
        <f t="array" ref="Q291">XLOOKUP(K291/1000, '运费（邮政）'!$A$2:$A$21, '运费（邮政）'!$B$2:$B$21, "超出范围", 1)</f>
        <v>1240</v>
      </c>
      <c r="R291" s="18">
        <v>12.99</v>
      </c>
      <c r="S291" s="19">
        <f t="shared" si="2"/>
        <v>7.743195493</v>
      </c>
      <c r="T291" s="20">
        <f t="shared" si="3"/>
        <v>49.79</v>
      </c>
      <c r="U291" s="21">
        <f t="array" ref="U291">XLOOKUP(O291/1000, '运费（橙联）'!$A$2:$A$57, '运费（橙联）'!$B$2:$B$57, "超出范围", 1)</f>
        <v>1581</v>
      </c>
      <c r="V291" s="22">
        <f>(P291*'参数表'!$C$2*(1+'参数表'!$C$3))*$B$1+'参数表'!$C$4</f>
        <v>758.53376</v>
      </c>
      <c r="W291" s="3">
        <v>0.127</v>
      </c>
      <c r="X291" s="4">
        <v>0.0135</v>
      </c>
      <c r="Y291" s="23">
        <f t="shared" si="4"/>
        <v>554.593072</v>
      </c>
      <c r="Z291" s="24">
        <f t="shared" si="5"/>
        <v>0.1061300276</v>
      </c>
      <c r="AA291" s="25">
        <f t="shared" si="6"/>
        <v>0.2562814566</v>
      </c>
      <c r="AB291" s="23">
        <f t="shared" si="7"/>
        <v>913.107573</v>
      </c>
      <c r="AC291" s="24">
        <f t="shared" si="8"/>
        <v>0.1291491268</v>
      </c>
      <c r="AD291" s="25">
        <f t="shared" si="9"/>
        <v>0.421953592</v>
      </c>
      <c r="AE291" s="26">
        <f>P291*(1-I291)*(1+'参数表'!$C$6)*(W291+X291+H291)*1.1+0.4*1.1</f>
        <v>8.922584</v>
      </c>
      <c r="AF291" s="26">
        <f t="shared" si="10"/>
        <v>11.6446385</v>
      </c>
    </row>
    <row r="292">
      <c r="A292" s="44" t="s">
        <v>942</v>
      </c>
      <c r="B292" s="44" t="s">
        <v>943</v>
      </c>
      <c r="C292" s="60" t="s">
        <v>944</v>
      </c>
      <c r="D292" s="2" t="s">
        <v>61</v>
      </c>
      <c r="E292" s="14"/>
      <c r="F292" s="14"/>
      <c r="G292" s="13" t="s">
        <v>945</v>
      </c>
      <c r="H292" s="3">
        <v>0.05</v>
      </c>
      <c r="I292" s="3">
        <v>0.0</v>
      </c>
      <c r="J292" s="15">
        <v>2727.0</v>
      </c>
      <c r="K292" s="16">
        <v>130.0</v>
      </c>
      <c r="L292" s="16">
        <v>13.0</v>
      </c>
      <c r="M292" s="16">
        <v>8.0</v>
      </c>
      <c r="N292" s="16">
        <v>20.0</v>
      </c>
      <c r="O292" s="17">
        <f t="shared" si="13"/>
        <v>260</v>
      </c>
      <c r="P292" s="18">
        <v>43.8</v>
      </c>
      <c r="Q292" s="6">
        <f t="array" ref="Q292">XLOOKUP(K292/1000, '运费（邮政）'!$A$2:$A$21, '运费（邮政）'!$B$2:$B$21, "超出范围", 1)</f>
        <v>1060</v>
      </c>
      <c r="R292" s="18">
        <v>15.99</v>
      </c>
      <c r="S292" s="19">
        <f t="shared" si="2"/>
        <v>9.725501127</v>
      </c>
      <c r="T292" s="20">
        <f t="shared" si="3"/>
        <v>59.79</v>
      </c>
      <c r="U292" s="21">
        <f t="array" ref="U292">XLOOKUP(O292/1000, '运费（橙联）'!$A$2:$A$57, '运费（橙联）'!$B$2:$B$57, "超出范围", 1)</f>
        <v>1581</v>
      </c>
      <c r="V292" s="22">
        <f>(P292*'参数表'!$C$2*(1+'参数表'!$C$3))*$B$1+'参数表'!$C$4</f>
        <v>860.02116</v>
      </c>
      <c r="W292" s="3">
        <v>0.127</v>
      </c>
      <c r="X292" s="4">
        <v>0.0135</v>
      </c>
      <c r="Y292" s="23">
        <f t="shared" si="4"/>
        <v>936.471102</v>
      </c>
      <c r="Z292" s="24">
        <f t="shared" si="5"/>
        <v>0.1505677378</v>
      </c>
      <c r="AA292" s="25">
        <f t="shared" si="6"/>
        <v>0.3434070781</v>
      </c>
      <c r="AB292" s="23">
        <f t="shared" si="7"/>
        <v>1350.229903</v>
      </c>
      <c r="AC292" s="24">
        <f t="shared" si="8"/>
        <v>0.1590343082</v>
      </c>
      <c r="AD292" s="25">
        <f t="shared" si="9"/>
        <v>0.4951338111</v>
      </c>
      <c r="AE292" s="26">
        <f>P292*(1-I292)*(1+'参数表'!$C$6)*(W292+X292+H292)*1.1+0.4*1.1</f>
        <v>10.536119</v>
      </c>
      <c r="AF292" s="26">
        <f t="shared" si="10"/>
        <v>13.8868235</v>
      </c>
    </row>
    <row r="293">
      <c r="A293" s="44" t="s">
        <v>946</v>
      </c>
      <c r="C293" s="60" t="s">
        <v>947</v>
      </c>
      <c r="D293" s="2" t="s">
        <v>61</v>
      </c>
      <c r="E293" s="14"/>
      <c r="F293" s="14"/>
      <c r="G293" s="13" t="s">
        <v>948</v>
      </c>
      <c r="H293" s="3">
        <v>0.05</v>
      </c>
      <c r="I293" s="3">
        <v>0.0</v>
      </c>
      <c r="J293" s="15">
        <v>2436.0</v>
      </c>
      <c r="K293" s="16">
        <v>210.0</v>
      </c>
      <c r="L293" s="16">
        <v>4.0</v>
      </c>
      <c r="M293" s="16">
        <v>6.0</v>
      </c>
      <c r="N293" s="16">
        <v>10.0</v>
      </c>
      <c r="O293" s="17">
        <f t="shared" si="13"/>
        <v>210</v>
      </c>
      <c r="P293" s="18">
        <v>39.8</v>
      </c>
      <c r="Q293" s="6">
        <f t="array" ref="Q293">XLOOKUP(K293/1000, '运费（邮政）'!$A$2:$A$21, '运费（邮政）'!$B$2:$B$21, "超出范围", 1)</f>
        <v>1240</v>
      </c>
      <c r="R293" s="18">
        <v>12.99</v>
      </c>
      <c r="S293" s="19">
        <f t="shared" si="2"/>
        <v>8.049495493</v>
      </c>
      <c r="T293" s="20">
        <f t="shared" si="3"/>
        <v>52.79</v>
      </c>
      <c r="U293" s="21">
        <f t="array" ref="U293">XLOOKUP(O293/1000, '运费（橙联）'!$A$2:$A$57, '运费（橙联）'!$B$2:$B$57, "超出范围", 1)</f>
        <v>1581</v>
      </c>
      <c r="V293" s="22">
        <f>(P293*'参数表'!$C$2*(1+'参数表'!$C$3))*$B$1+'参数表'!$C$4</f>
        <v>802.02836</v>
      </c>
      <c r="W293" s="3">
        <v>0.127</v>
      </c>
      <c r="X293" s="4">
        <v>0.0135</v>
      </c>
      <c r="Y293" s="23">
        <f t="shared" si="4"/>
        <v>610.397942</v>
      </c>
      <c r="Z293" s="24">
        <f t="shared" si="5"/>
        <v>0.1080044487</v>
      </c>
      <c r="AA293" s="25">
        <f t="shared" si="6"/>
        <v>0.2505738678</v>
      </c>
      <c r="AB293" s="23">
        <f t="shared" si="7"/>
        <v>925.417843</v>
      </c>
      <c r="AC293" s="24">
        <f t="shared" si="8"/>
        <v>0.1234519239</v>
      </c>
      <c r="AD293" s="25">
        <f t="shared" si="9"/>
        <v>0.3798923822</v>
      </c>
      <c r="AE293" s="26">
        <f>P293*(1-I293)*(1+'参数表'!$C$6)*(W293+X293+H293)*1.1+0.4*1.1</f>
        <v>9.614099</v>
      </c>
      <c r="AF293" s="26">
        <f t="shared" si="10"/>
        <v>12.3361535</v>
      </c>
    </row>
    <row r="294">
      <c r="A294" s="44" t="s">
        <v>949</v>
      </c>
      <c r="C294" s="60" t="s">
        <v>950</v>
      </c>
      <c r="D294" s="2" t="s">
        <v>61</v>
      </c>
      <c r="E294" s="14"/>
      <c r="F294" s="14"/>
      <c r="G294" s="13" t="s">
        <v>951</v>
      </c>
      <c r="H294" s="3">
        <v>0.05</v>
      </c>
      <c r="I294" s="3">
        <v>0.0</v>
      </c>
      <c r="J294" s="15">
        <v>4430.0</v>
      </c>
      <c r="K294" s="16">
        <v>140.0</v>
      </c>
      <c r="L294" s="16">
        <v>20.0</v>
      </c>
      <c r="M294" s="16">
        <v>17.0</v>
      </c>
      <c r="N294" s="16">
        <v>6.0</v>
      </c>
      <c r="O294" s="17">
        <f t="shared" si="13"/>
        <v>255</v>
      </c>
      <c r="P294" s="18">
        <v>61.8</v>
      </c>
      <c r="Q294" s="6">
        <f t="array" ref="Q294">XLOOKUP(K294/1000, '运费（邮政）'!$A$2:$A$21, '运费（邮政）'!$B$2:$B$21, "超出范围", 1)</f>
        <v>1060</v>
      </c>
      <c r="R294" s="18">
        <v>21.99</v>
      </c>
      <c r="S294" s="19">
        <f t="shared" si="2"/>
        <v>11.56330113</v>
      </c>
      <c r="T294" s="20">
        <f t="shared" si="3"/>
        <v>83.79</v>
      </c>
      <c r="U294" s="21">
        <f t="array" ref="U294">XLOOKUP(O294/1000, '运费（橙联）'!$A$2:$A$57, '运费（橙联）'!$B$2:$B$57, "超出范围", 1)</f>
        <v>1581</v>
      </c>
      <c r="V294" s="22">
        <f>(P294*'参数表'!$C$2*(1+'参数表'!$C$3))*$B$1+'参数表'!$C$4</f>
        <v>1120.98876</v>
      </c>
      <c r="W294" s="3">
        <v>0.127</v>
      </c>
      <c r="X294" s="4">
        <v>0.0135</v>
      </c>
      <c r="Y294" s="23">
        <f t="shared" si="4"/>
        <v>1200.300322</v>
      </c>
      <c r="Z294" s="24">
        <f t="shared" si="5"/>
        <v>0.1367770092</v>
      </c>
      <c r="AA294" s="25">
        <f t="shared" si="6"/>
        <v>0.270948154</v>
      </c>
      <c r="AB294" s="23">
        <f t="shared" si="7"/>
        <v>2026.554923</v>
      </c>
      <c r="AC294" s="24">
        <f t="shared" si="8"/>
        <v>0.1703247827</v>
      </c>
      <c r="AD294" s="25">
        <f t="shared" si="9"/>
        <v>0.4574616079</v>
      </c>
      <c r="AE294" s="26">
        <f>P294*(1-I294)*(1+'参数表'!$C$6)*(W294+X294+H294)*1.1+0.4*1.1</f>
        <v>14.685209</v>
      </c>
      <c r="AF294" s="26">
        <f t="shared" si="10"/>
        <v>19.2932135</v>
      </c>
    </row>
    <row r="295">
      <c r="A295" s="44" t="s">
        <v>952</v>
      </c>
      <c r="C295" s="60" t="s">
        <v>953</v>
      </c>
      <c r="D295" s="2" t="s">
        <v>61</v>
      </c>
      <c r="E295" s="14"/>
      <c r="F295" s="14"/>
      <c r="G295" s="13" t="s">
        <v>954</v>
      </c>
      <c r="H295" s="3">
        <v>0.05</v>
      </c>
      <c r="I295" s="3">
        <v>0.0</v>
      </c>
      <c r="J295" s="15">
        <v>2373.0</v>
      </c>
      <c r="K295" s="16">
        <v>210.0</v>
      </c>
      <c r="L295" s="16">
        <v>11.0</v>
      </c>
      <c r="M295" s="16">
        <v>5.0</v>
      </c>
      <c r="N295" s="16">
        <v>9.0</v>
      </c>
      <c r="O295" s="17">
        <f t="shared" si="13"/>
        <v>210</v>
      </c>
      <c r="P295" s="18">
        <v>39.8</v>
      </c>
      <c r="Q295" s="6">
        <f t="array" ref="Q295">XLOOKUP(K295/1000, '运费（邮政）'!$A$2:$A$21, '运费（邮政）'!$B$2:$B$21, "超出范围", 1)</f>
        <v>1240</v>
      </c>
      <c r="R295" s="18">
        <v>12.99</v>
      </c>
      <c r="S295" s="19">
        <f t="shared" si="2"/>
        <v>8.049495493</v>
      </c>
      <c r="T295" s="20">
        <f t="shared" si="3"/>
        <v>52.79</v>
      </c>
      <c r="U295" s="21">
        <f t="array" ref="U295">XLOOKUP(O295/1000, '运费（橙联）'!$A$2:$A$57, '运费（橙联）'!$B$2:$B$57, "超出范围", 1)</f>
        <v>1581</v>
      </c>
      <c r="V295" s="22">
        <f>(P295*'参数表'!$C$2*(1+'参数表'!$C$3))*$B$1+'参数表'!$C$4</f>
        <v>802.02836</v>
      </c>
      <c r="W295" s="3">
        <v>0.127</v>
      </c>
      <c r="X295" s="4">
        <v>0.0135</v>
      </c>
      <c r="Y295" s="23">
        <f t="shared" si="4"/>
        <v>673.397942</v>
      </c>
      <c r="Z295" s="24">
        <f t="shared" si="5"/>
        <v>0.1191517344</v>
      </c>
      <c r="AA295" s="25">
        <f t="shared" si="6"/>
        <v>0.283774944</v>
      </c>
      <c r="AB295" s="23">
        <f t="shared" si="7"/>
        <v>988.417843</v>
      </c>
      <c r="AC295" s="24">
        <f t="shared" si="8"/>
        <v>0.1318562045</v>
      </c>
      <c r="AD295" s="25">
        <f t="shared" si="9"/>
        <v>0.4165266932</v>
      </c>
      <c r="AE295" s="26">
        <f>P295*(1-I295)*(1+'参数表'!$C$6)*(W295+X295+H295)*1.1+0.4*1.1</f>
        <v>9.614099</v>
      </c>
      <c r="AF295" s="26">
        <f t="shared" si="10"/>
        <v>12.3361535</v>
      </c>
    </row>
    <row r="296">
      <c r="A296" s="44" t="s">
        <v>955</v>
      </c>
      <c r="C296" s="60" t="s">
        <v>956</v>
      </c>
      <c r="D296" s="2" t="s">
        <v>61</v>
      </c>
      <c r="E296" s="14"/>
      <c r="F296" s="14"/>
      <c r="G296" s="13" t="s">
        <v>957</v>
      </c>
      <c r="H296" s="3">
        <v>0.05</v>
      </c>
      <c r="I296" s="3">
        <v>0.0</v>
      </c>
      <c r="J296" s="15">
        <v>3510.0</v>
      </c>
      <c r="K296" s="16">
        <v>310.0</v>
      </c>
      <c r="L296" s="16">
        <v>15.0</v>
      </c>
      <c r="M296" s="16">
        <v>7.0</v>
      </c>
      <c r="N296" s="16">
        <v>23.0</v>
      </c>
      <c r="O296" s="17">
        <v>310.0</v>
      </c>
      <c r="P296" s="18">
        <v>54.8</v>
      </c>
      <c r="Q296" s="6">
        <f t="array" ref="Q296">XLOOKUP(K296/1000, '运费（邮政）'!$A$2:$A$21, '运费（邮政）'!$B$2:$B$21, "超出范围", 1)</f>
        <v>1420</v>
      </c>
      <c r="R296" s="18">
        <v>18.99</v>
      </c>
      <c r="S296" s="19">
        <f t="shared" si="2"/>
        <v>9.700713803</v>
      </c>
      <c r="T296" s="20">
        <f t="shared" si="3"/>
        <v>73.79</v>
      </c>
      <c r="U296" s="21">
        <f t="array" ref="U296">XLOOKUP(O296/1000, '运费（橙联）'!$A$2:$A$57, '运费（橙联）'!$B$2:$B$57, "超出范围", 1)</f>
        <v>1778</v>
      </c>
      <c r="V296" s="22">
        <f>(P296*'参数表'!$C$2*(1+'参数表'!$C$3))*$B$1+'参数表'!$C$4</f>
        <v>1019.50136</v>
      </c>
      <c r="W296" s="3">
        <v>0.127</v>
      </c>
      <c r="X296" s="4">
        <v>0.0135</v>
      </c>
      <c r="Y296" s="23">
        <f t="shared" si="4"/>
        <v>995.422292</v>
      </c>
      <c r="Z296" s="24">
        <f t="shared" si="5"/>
        <v>0.1279200026</v>
      </c>
      <c r="AA296" s="25">
        <f t="shared" si="6"/>
        <v>0.2835960946</v>
      </c>
      <c r="AB296" s="23">
        <f t="shared" si="7"/>
        <v>1749.432593</v>
      </c>
      <c r="AC296" s="24">
        <f t="shared" si="8"/>
        <v>0.1669595858</v>
      </c>
      <c r="AD296" s="25">
        <f t="shared" si="9"/>
        <v>0.4984138442</v>
      </c>
      <c r="AE296" s="26">
        <f>P296*(1-I296)*(1+'参数表'!$C$6)*(W296+X296+H296)*1.1+0.4*1.1</f>
        <v>13.071674</v>
      </c>
      <c r="AF296" s="26">
        <f t="shared" si="10"/>
        <v>17.0510285</v>
      </c>
    </row>
    <row r="297">
      <c r="A297" s="44" t="s">
        <v>958</v>
      </c>
      <c r="C297" s="60" t="s">
        <v>959</v>
      </c>
      <c r="D297" s="2" t="s">
        <v>61</v>
      </c>
      <c r="E297" s="14"/>
      <c r="F297" s="14"/>
      <c r="G297" s="13" t="s">
        <v>960</v>
      </c>
      <c r="H297" s="3">
        <v>0.05</v>
      </c>
      <c r="I297" s="3">
        <v>0.0</v>
      </c>
      <c r="J297" s="15">
        <v>3900.0</v>
      </c>
      <c r="K297" s="16">
        <v>180.0</v>
      </c>
      <c r="L297" s="16">
        <v>18.0</v>
      </c>
      <c r="M297" s="16">
        <v>13.0</v>
      </c>
      <c r="N297" s="16">
        <v>6.0</v>
      </c>
      <c r="O297" s="17">
        <f t="shared" ref="O297:O439" si="14">max(L297*M297*N297/8000*1000,K297)</f>
        <v>180</v>
      </c>
      <c r="P297" s="18">
        <v>58.2</v>
      </c>
      <c r="Q297" s="6">
        <f t="array" ref="Q297">XLOOKUP(K297/1000, '运费（邮政）'!$A$2:$A$21, '运费（邮政）'!$B$2:$B$21, "超出范围", 1)</f>
        <v>1060</v>
      </c>
      <c r="R297" s="18">
        <v>15.99</v>
      </c>
      <c r="S297" s="19">
        <f t="shared" si="2"/>
        <v>9.688698873</v>
      </c>
      <c r="T297" s="20">
        <f t="shared" si="3"/>
        <v>74.19</v>
      </c>
      <c r="U297" s="21">
        <f t="array" ref="U297">XLOOKUP(O297/1000, '运费（橙联）'!$A$2:$A$57, '运费（橙联）'!$B$2:$B$57, "超出范围", 1)</f>
        <v>1367</v>
      </c>
      <c r="V297" s="22">
        <f>(P297*'参数表'!$C$2*(1+'参数表'!$C$3))*$B$1+'参数表'!$C$4</f>
        <v>1068.79524</v>
      </c>
      <c r="W297" s="3">
        <v>0.127</v>
      </c>
      <c r="X297" s="4">
        <v>0.0135</v>
      </c>
      <c r="Y297" s="23">
        <f t="shared" si="4"/>
        <v>1336.934478</v>
      </c>
      <c r="Z297" s="24">
        <f t="shared" si="5"/>
        <v>0.1617703013</v>
      </c>
      <c r="AA297" s="25">
        <f t="shared" si="6"/>
        <v>0.3428037123</v>
      </c>
      <c r="AB297" s="23">
        <f t="shared" si="7"/>
        <v>1755.919199</v>
      </c>
      <c r="AC297" s="24">
        <f t="shared" si="8"/>
        <v>0.1666751336</v>
      </c>
      <c r="AD297" s="25">
        <f t="shared" si="9"/>
        <v>0.4502356921</v>
      </c>
      <c r="AE297" s="26">
        <f>P297*(1-I297)*(1+'参数表'!$C$6)*(W297+X297+H297)*1.1+0.4*1.1</f>
        <v>13.855391</v>
      </c>
      <c r="AF297" s="26">
        <f t="shared" si="10"/>
        <v>17.2060955</v>
      </c>
    </row>
    <row r="298">
      <c r="A298" s="44" t="s">
        <v>961</v>
      </c>
      <c r="C298" s="60" t="s">
        <v>962</v>
      </c>
      <c r="D298" s="2" t="s">
        <v>61</v>
      </c>
      <c r="E298" s="14"/>
      <c r="F298" s="14"/>
      <c r="G298" s="13" t="s">
        <v>963</v>
      </c>
      <c r="H298" s="3">
        <v>0.05</v>
      </c>
      <c r="I298" s="3">
        <v>0.0</v>
      </c>
      <c r="J298" s="15">
        <v>2336.0</v>
      </c>
      <c r="K298" s="16">
        <v>280.0</v>
      </c>
      <c r="L298" s="16">
        <v>20.0</v>
      </c>
      <c r="M298" s="16">
        <v>7.0</v>
      </c>
      <c r="N298" s="16">
        <v>15.0</v>
      </c>
      <c r="O298" s="17">
        <f t="shared" si="14"/>
        <v>280</v>
      </c>
      <c r="P298" s="18">
        <v>41.8</v>
      </c>
      <c r="Q298" s="6">
        <f t="array" ref="Q298">XLOOKUP(K298/1000, '运费（邮政）'!$A$2:$A$21, '运费（邮政）'!$B$2:$B$21, "超出范围", 1)</f>
        <v>1240</v>
      </c>
      <c r="R298" s="18">
        <v>12.99</v>
      </c>
      <c r="S298" s="19">
        <f t="shared" si="2"/>
        <v>8.253695493</v>
      </c>
      <c r="T298" s="20">
        <f t="shared" si="3"/>
        <v>54.79</v>
      </c>
      <c r="U298" s="21">
        <f t="array" ref="U298">XLOOKUP(O298/1000, '运费（橙联）'!$A$2:$A$57, '运费（橙联）'!$B$2:$B$57, "超出范围", 1)</f>
        <v>1581</v>
      </c>
      <c r="V298" s="22">
        <f>(P298*'参数表'!$C$2*(1+'参数表'!$C$3))*$B$1+'参数表'!$C$4</f>
        <v>831.02476</v>
      </c>
      <c r="W298" s="3">
        <v>0.127</v>
      </c>
      <c r="X298" s="4">
        <v>0.0135</v>
      </c>
      <c r="Y298" s="23">
        <f t="shared" si="4"/>
        <v>928.934522</v>
      </c>
      <c r="Z298" s="24">
        <f t="shared" si="5"/>
        <v>0.1565022107</v>
      </c>
      <c r="AA298" s="25">
        <f t="shared" si="6"/>
        <v>0.3976603262</v>
      </c>
      <c r="AB298" s="23">
        <f t="shared" si="7"/>
        <v>1214.958023</v>
      </c>
      <c r="AC298" s="24">
        <f t="shared" si="8"/>
        <v>0.1561606573</v>
      </c>
      <c r="AD298" s="25">
        <f t="shared" si="9"/>
        <v>0.5201018934</v>
      </c>
      <c r="AE298" s="26">
        <f>P298*(1-I298)*(1+'参数表'!$C$6)*(W298+X298+H298)*1.1+0.4*1.1</f>
        <v>10.075109</v>
      </c>
      <c r="AF298" s="26">
        <f t="shared" si="10"/>
        <v>12.7971635</v>
      </c>
    </row>
    <row r="299">
      <c r="A299" s="44" t="s">
        <v>964</v>
      </c>
      <c r="C299" s="60" t="s">
        <v>965</v>
      </c>
      <c r="D299" s="2" t="s">
        <v>61</v>
      </c>
      <c r="E299" s="14"/>
      <c r="F299" s="14"/>
      <c r="G299" s="13" t="s">
        <v>966</v>
      </c>
      <c r="H299" s="3">
        <v>0.05</v>
      </c>
      <c r="I299" s="3">
        <v>0.0</v>
      </c>
      <c r="J299" s="15">
        <v>2480.0</v>
      </c>
      <c r="K299" s="16">
        <v>180.0</v>
      </c>
      <c r="L299" s="16">
        <v>18.0</v>
      </c>
      <c r="M299" s="16">
        <v>13.0</v>
      </c>
      <c r="N299" s="16">
        <v>6.0</v>
      </c>
      <c r="O299" s="17">
        <f t="shared" si="14"/>
        <v>180</v>
      </c>
      <c r="P299" s="18">
        <v>41.8</v>
      </c>
      <c r="Q299" s="6">
        <f t="array" ref="Q299">XLOOKUP(K299/1000, '运费（邮政）'!$A$2:$A$21, '运费（邮政）'!$B$2:$B$21, "超出范围", 1)</f>
        <v>1060</v>
      </c>
      <c r="R299" s="18">
        <v>12.99</v>
      </c>
      <c r="S299" s="19">
        <f t="shared" si="2"/>
        <v>8.014258873</v>
      </c>
      <c r="T299" s="20">
        <f t="shared" si="3"/>
        <v>54.79</v>
      </c>
      <c r="U299" s="21">
        <f t="array" ref="U299">XLOOKUP(O299/1000, '运费（橙联）'!$A$2:$A$57, '运费（橙联）'!$B$2:$B$57, "超出范围", 1)</f>
        <v>1367</v>
      </c>
      <c r="V299" s="22">
        <f>(P299*'参数表'!$C$2*(1+'参数表'!$C$3))*$B$1+'参数表'!$C$4</f>
        <v>831.02476</v>
      </c>
      <c r="W299" s="3">
        <v>0.127</v>
      </c>
      <c r="X299" s="4">
        <v>0.0135</v>
      </c>
      <c r="Y299" s="23">
        <f t="shared" si="4"/>
        <v>964.934522</v>
      </c>
      <c r="Z299" s="24">
        <f t="shared" si="5"/>
        <v>0.1625673095</v>
      </c>
      <c r="AA299" s="25">
        <f t="shared" si="6"/>
        <v>0.3890865008</v>
      </c>
      <c r="AB299" s="23">
        <f t="shared" si="7"/>
        <v>1284.958023</v>
      </c>
      <c r="AC299" s="24">
        <f t="shared" si="8"/>
        <v>0.1651578785</v>
      </c>
      <c r="AD299" s="25">
        <f t="shared" si="9"/>
        <v>0.5181282351</v>
      </c>
      <c r="AE299" s="26">
        <f>P299*(1-I299)*(1+'参数表'!$C$6)*(W299+X299+H299)*1.1+0.4*1.1</f>
        <v>10.075109</v>
      </c>
      <c r="AF299" s="26">
        <f t="shared" si="10"/>
        <v>12.7971635</v>
      </c>
    </row>
    <row r="300">
      <c r="A300" s="51" t="s">
        <v>967</v>
      </c>
      <c r="B300" s="29"/>
      <c r="C300" s="60" t="s">
        <v>968</v>
      </c>
      <c r="D300" s="2" t="s">
        <v>61</v>
      </c>
      <c r="E300" s="29"/>
      <c r="F300" s="29"/>
      <c r="G300" s="67" t="s">
        <v>969</v>
      </c>
      <c r="H300" s="68">
        <v>0.05</v>
      </c>
      <c r="I300" s="68">
        <v>0.0</v>
      </c>
      <c r="J300" s="69">
        <v>4400.0</v>
      </c>
      <c r="K300" s="70">
        <v>130.0</v>
      </c>
      <c r="L300" s="82">
        <v>5.0</v>
      </c>
      <c r="M300" s="82">
        <v>7.0</v>
      </c>
      <c r="N300" s="82">
        <v>11.0</v>
      </c>
      <c r="O300" s="71">
        <f t="shared" si="14"/>
        <v>130</v>
      </c>
      <c r="P300" s="72">
        <v>61.8</v>
      </c>
      <c r="Q300" s="73">
        <f t="array" ref="Q300">XLOOKUP(K300/1000, '运费（邮政）'!$A$2:$A$21, '运费（邮政）'!$B$2:$B$21, "超出范围", 1)</f>
        <v>1060</v>
      </c>
      <c r="R300" s="72">
        <v>18.99</v>
      </c>
      <c r="S300" s="74">
        <f t="shared" si="2"/>
        <v>10.05625887</v>
      </c>
      <c r="T300" s="75">
        <f t="shared" si="3"/>
        <v>80.79</v>
      </c>
      <c r="U300" s="76">
        <f t="array" ref="U300">XLOOKUP(O300/1000, '运费（橙联）'!$A$2:$A$57, '运费（橙联）'!$B$2:$B$57, "超出范围", 1)</f>
        <v>1367</v>
      </c>
      <c r="V300" s="77">
        <f>(P300*'参数表'!$C$2*(1+'参数表'!$C$3))*$B$1+'参数表'!$C$4</f>
        <v>1120.98876</v>
      </c>
      <c r="W300" s="68">
        <v>0.127</v>
      </c>
      <c r="X300" s="78">
        <v>0.0135</v>
      </c>
      <c r="Y300" s="79">
        <f t="shared" si="4"/>
        <v>1230.300322</v>
      </c>
      <c r="Z300" s="80">
        <f t="shared" si="5"/>
        <v>0.1401955789</v>
      </c>
      <c r="AA300" s="81">
        <f t="shared" si="6"/>
        <v>0.2796137095</v>
      </c>
      <c r="AB300" s="79">
        <f t="shared" si="7"/>
        <v>1933.823223</v>
      </c>
      <c r="AC300" s="80">
        <f t="shared" si="8"/>
        <v>0.1685663251</v>
      </c>
      <c r="AD300" s="81">
        <f t="shared" si="9"/>
        <v>0.439505278</v>
      </c>
      <c r="AE300" s="74">
        <f>P300*(1-I300)*(1+'参数表'!$C$6)*(W300+X300+H300)*1.1+0.4*1.1</f>
        <v>14.685209</v>
      </c>
      <c r="AF300" s="74">
        <f t="shared" si="10"/>
        <v>18.6645635</v>
      </c>
      <c r="AG300" s="29"/>
    </row>
    <row r="301">
      <c r="A301" s="51" t="s">
        <v>970</v>
      </c>
      <c r="B301" s="29"/>
      <c r="C301" s="60" t="s">
        <v>971</v>
      </c>
      <c r="D301" s="2" t="s">
        <v>61</v>
      </c>
      <c r="E301" s="29"/>
      <c r="F301" s="29"/>
      <c r="G301" s="67" t="s">
        <v>972</v>
      </c>
      <c r="H301" s="68">
        <v>0.05</v>
      </c>
      <c r="I301" s="68">
        <v>0.0</v>
      </c>
      <c r="J301" s="69">
        <v>2455.0</v>
      </c>
      <c r="K301" s="70">
        <v>140.0</v>
      </c>
      <c r="L301" s="82">
        <v>5.0</v>
      </c>
      <c r="M301" s="82">
        <v>4.0</v>
      </c>
      <c r="N301" s="82">
        <v>10.0</v>
      </c>
      <c r="O301" s="71">
        <f t="shared" si="14"/>
        <v>140</v>
      </c>
      <c r="P301" s="72">
        <v>42.5</v>
      </c>
      <c r="Q301" s="73">
        <f t="array" ref="Q301">XLOOKUP(K301/1000, '运费（邮政）'!$A$2:$A$21, '运费（邮政）'!$B$2:$B$21, "超出范围", 1)</f>
        <v>1060</v>
      </c>
      <c r="R301" s="72">
        <v>12.99</v>
      </c>
      <c r="S301" s="74">
        <f t="shared" si="2"/>
        <v>8.085728873</v>
      </c>
      <c r="T301" s="75">
        <f t="shared" si="3"/>
        <v>55.49</v>
      </c>
      <c r="U301" s="76">
        <f t="array" ref="U301">XLOOKUP(O301/1000, '运费（橙联）'!$A$2:$A$57, '运费（橙联）'!$B$2:$B$57, "超出范围", 1)</f>
        <v>1367</v>
      </c>
      <c r="V301" s="77">
        <f>(P301*'参数表'!$C$2*(1+'参数表'!$C$3))*$B$1+'参数表'!$C$4</f>
        <v>841.1735</v>
      </c>
      <c r="W301" s="68">
        <v>0.127</v>
      </c>
      <c r="X301" s="78">
        <v>0.0135</v>
      </c>
      <c r="Y301" s="79">
        <f t="shared" si="4"/>
        <v>1066.422325</v>
      </c>
      <c r="Z301" s="80">
        <f t="shared" si="5"/>
        <v>0.1767062676</v>
      </c>
      <c r="AA301" s="81">
        <f t="shared" si="6"/>
        <v>0.4343879124</v>
      </c>
      <c r="AB301" s="79">
        <f t="shared" si="7"/>
        <v>1376.297086</v>
      </c>
      <c r="AC301" s="80">
        <f t="shared" si="8"/>
        <v>0.1746663002</v>
      </c>
      <c r="AD301" s="81">
        <f t="shared" si="9"/>
        <v>0.560609811</v>
      </c>
      <c r="AE301" s="74">
        <f>P301*(1-I301)*(1+'参数表'!$C$6)*(W301+X301+H301)*1.1+0.4*1.1</f>
        <v>10.2364625</v>
      </c>
      <c r="AF301" s="74">
        <f t="shared" si="10"/>
        <v>12.958517</v>
      </c>
      <c r="AG301" s="29"/>
    </row>
    <row r="302">
      <c r="A302" s="51" t="s">
        <v>973</v>
      </c>
      <c r="B302" s="29"/>
      <c r="C302" s="60" t="s">
        <v>974</v>
      </c>
      <c r="D302" s="2" t="s">
        <v>61</v>
      </c>
      <c r="E302" s="29"/>
      <c r="F302" s="29"/>
      <c r="G302" s="67" t="s">
        <v>975</v>
      </c>
      <c r="H302" s="68">
        <v>0.05</v>
      </c>
      <c r="I302" s="68">
        <v>0.0</v>
      </c>
      <c r="J302" s="69">
        <v>3900.0</v>
      </c>
      <c r="K302" s="70">
        <v>140.0</v>
      </c>
      <c r="L302" s="82">
        <v>8.0</v>
      </c>
      <c r="M302" s="82">
        <v>7.0</v>
      </c>
      <c r="N302" s="82">
        <v>10.0</v>
      </c>
      <c r="O302" s="71">
        <f t="shared" si="14"/>
        <v>140</v>
      </c>
      <c r="P302" s="72">
        <v>58.2</v>
      </c>
      <c r="Q302" s="73">
        <f t="array" ref="Q302">XLOOKUP(K302/1000, '运费（邮政）'!$A$2:$A$21, '运费（邮政）'!$B$2:$B$21, "超出范围", 1)</f>
        <v>1060</v>
      </c>
      <c r="R302" s="72">
        <v>15.99</v>
      </c>
      <c r="S302" s="74">
        <f t="shared" si="2"/>
        <v>9.688698873</v>
      </c>
      <c r="T302" s="75">
        <f t="shared" si="3"/>
        <v>74.19</v>
      </c>
      <c r="U302" s="76">
        <f t="array" ref="U302">XLOOKUP(O302/1000, '运费（橙联）'!$A$2:$A$57, '运费（橙联）'!$B$2:$B$57, "超出范围", 1)</f>
        <v>1367</v>
      </c>
      <c r="V302" s="77">
        <f>(P302*'参数表'!$C$2*(1+'参数表'!$C$3))*$B$1+'参数表'!$C$4</f>
        <v>1068.79524</v>
      </c>
      <c r="W302" s="68">
        <v>0.127</v>
      </c>
      <c r="X302" s="78">
        <v>0.0135</v>
      </c>
      <c r="Y302" s="79">
        <f t="shared" si="4"/>
        <v>1336.934478</v>
      </c>
      <c r="Z302" s="80">
        <f t="shared" si="5"/>
        <v>0.1617703013</v>
      </c>
      <c r="AA302" s="81">
        <f t="shared" si="6"/>
        <v>0.3428037123</v>
      </c>
      <c r="AB302" s="79">
        <f t="shared" si="7"/>
        <v>1755.919199</v>
      </c>
      <c r="AC302" s="80">
        <f t="shared" si="8"/>
        <v>0.1666751336</v>
      </c>
      <c r="AD302" s="81">
        <f t="shared" si="9"/>
        <v>0.4502356921</v>
      </c>
      <c r="AE302" s="74">
        <f>P302*(1-I302)*(1+'参数表'!$C$6)*(W302+X302+H302)*1.1+0.4*1.1</f>
        <v>13.855391</v>
      </c>
      <c r="AF302" s="74">
        <f t="shared" si="10"/>
        <v>17.2060955</v>
      </c>
      <c r="AG302" s="29"/>
    </row>
    <row r="303">
      <c r="A303" s="51" t="s">
        <v>976</v>
      </c>
      <c r="B303" s="29"/>
      <c r="C303" s="60" t="s">
        <v>977</v>
      </c>
      <c r="D303" s="2" t="s">
        <v>61</v>
      </c>
      <c r="E303" s="29"/>
      <c r="F303" s="29"/>
      <c r="G303" s="67" t="s">
        <v>978</v>
      </c>
      <c r="H303" s="68">
        <v>0.05</v>
      </c>
      <c r="I303" s="68">
        <v>0.0</v>
      </c>
      <c r="J303" s="69">
        <v>2080.0</v>
      </c>
      <c r="K303" s="70">
        <v>140.0</v>
      </c>
      <c r="L303" s="82">
        <v>6.0</v>
      </c>
      <c r="M303" s="82">
        <v>5.0</v>
      </c>
      <c r="N303" s="82">
        <v>10.0</v>
      </c>
      <c r="O303" s="71">
        <f t="shared" si="14"/>
        <v>140</v>
      </c>
      <c r="P303" s="72">
        <v>35.8</v>
      </c>
      <c r="Q303" s="73">
        <f t="array" ref="Q303">XLOOKUP(K303/1000, '运费（邮政）'!$A$2:$A$21, '运费（邮政）'!$B$2:$B$21, "超出范围", 1)</f>
        <v>1060</v>
      </c>
      <c r="R303" s="72">
        <v>12.99</v>
      </c>
      <c r="S303" s="74">
        <f t="shared" si="2"/>
        <v>7.401658873</v>
      </c>
      <c r="T303" s="75">
        <f t="shared" si="3"/>
        <v>48.79</v>
      </c>
      <c r="U303" s="76">
        <f t="array" ref="U303">XLOOKUP(O303/1000, '运费（橙联）'!$A$2:$A$57, '运费（橙联）'!$B$2:$B$57, "超出范围", 1)</f>
        <v>1367</v>
      </c>
      <c r="V303" s="77">
        <f>(P303*'参数表'!$C$2*(1+'参数表'!$C$3))*$B$1+'参数表'!$C$4</f>
        <v>744.03556</v>
      </c>
      <c r="W303" s="68">
        <v>0.127</v>
      </c>
      <c r="X303" s="78">
        <v>0.0135</v>
      </c>
      <c r="Y303" s="79">
        <f t="shared" si="4"/>
        <v>709.324782</v>
      </c>
      <c r="Z303" s="80">
        <f t="shared" si="5"/>
        <v>0.1395319817</v>
      </c>
      <c r="AA303" s="81">
        <f t="shared" si="6"/>
        <v>0.3410215298</v>
      </c>
      <c r="AB303" s="79">
        <f t="shared" si="7"/>
        <v>1116.337483</v>
      </c>
      <c r="AC303" s="80">
        <f t="shared" si="8"/>
        <v>0.1611299768</v>
      </c>
      <c r="AD303" s="81">
        <f t="shared" si="9"/>
        <v>0.536700713</v>
      </c>
      <c r="AE303" s="74">
        <f>P303*(1-I303)*(1+'参数表'!$C$6)*(W303+X303+H303)*1.1+0.4*1.1</f>
        <v>8.692079</v>
      </c>
      <c r="AF303" s="74">
        <f t="shared" si="10"/>
        <v>11.4141335</v>
      </c>
      <c r="AG303" s="29"/>
    </row>
    <row r="304">
      <c r="A304" s="51" t="s">
        <v>979</v>
      </c>
      <c r="B304" s="29"/>
      <c r="C304" s="60" t="s">
        <v>980</v>
      </c>
      <c r="D304" s="2" t="s">
        <v>61</v>
      </c>
      <c r="E304" s="29"/>
      <c r="F304" s="29"/>
      <c r="G304" s="67" t="s">
        <v>981</v>
      </c>
      <c r="H304" s="68">
        <v>0.05</v>
      </c>
      <c r="I304" s="68">
        <v>0.0</v>
      </c>
      <c r="J304" s="69">
        <v>2482.0</v>
      </c>
      <c r="K304" s="70">
        <v>180.0</v>
      </c>
      <c r="L304" s="82">
        <v>6.0</v>
      </c>
      <c r="M304" s="82">
        <v>10.0</v>
      </c>
      <c r="N304" s="82">
        <v>5.0</v>
      </c>
      <c r="O304" s="71">
        <f t="shared" si="14"/>
        <v>180</v>
      </c>
      <c r="P304" s="72">
        <v>42.6</v>
      </c>
      <c r="Q304" s="73">
        <f t="array" ref="Q304">XLOOKUP(K304/1000, '运费（邮政）'!$A$2:$A$21, '运费（邮政）'!$B$2:$B$21, "超出范围", 1)</f>
        <v>1060</v>
      </c>
      <c r="R304" s="72">
        <v>12.99</v>
      </c>
      <c r="S304" s="74">
        <f t="shared" si="2"/>
        <v>8.095938873</v>
      </c>
      <c r="T304" s="75">
        <f t="shared" si="3"/>
        <v>55.59</v>
      </c>
      <c r="U304" s="76">
        <f t="array" ref="U304">XLOOKUP(O304/1000, '运费（橙联）'!$A$2:$A$57, '运费（橙联）'!$B$2:$B$57, "超出范围", 1)</f>
        <v>1367</v>
      </c>
      <c r="V304" s="77">
        <f>(P304*'参数表'!$C$2*(1+'参数表'!$C$3))*$B$1+'参数表'!$C$4</f>
        <v>842.62332</v>
      </c>
      <c r="W304" s="68">
        <v>0.127</v>
      </c>
      <c r="X304" s="78">
        <v>0.0135</v>
      </c>
      <c r="Y304" s="79">
        <f t="shared" si="4"/>
        <v>1050.349154</v>
      </c>
      <c r="Z304" s="80">
        <f t="shared" si="5"/>
        <v>0.1736343903</v>
      </c>
      <c r="AA304" s="81">
        <f t="shared" si="6"/>
        <v>0.4231866052</v>
      </c>
      <c r="AB304" s="79">
        <f t="shared" si="7"/>
        <v>1358.774095</v>
      </c>
      <c r="AC304" s="80">
        <f t="shared" si="8"/>
        <v>0.1721322478</v>
      </c>
      <c r="AD304" s="81">
        <f t="shared" si="9"/>
        <v>0.5474512873</v>
      </c>
      <c r="AE304" s="74">
        <f>P304*(1-I304)*(1+'参数表'!$C$6)*(W304+X304+H304)*1.1+0.4*1.1</f>
        <v>10.259513</v>
      </c>
      <c r="AF304" s="74">
        <f t="shared" si="10"/>
        <v>12.9815675</v>
      </c>
      <c r="AG304" s="29"/>
    </row>
    <row r="305">
      <c r="A305" s="51" t="s">
        <v>982</v>
      </c>
      <c r="B305" s="29"/>
      <c r="C305" s="60" t="s">
        <v>983</v>
      </c>
      <c r="D305" s="2" t="s">
        <v>61</v>
      </c>
      <c r="E305" s="29"/>
      <c r="F305" s="29"/>
      <c r="G305" s="67" t="s">
        <v>984</v>
      </c>
      <c r="H305" s="68">
        <v>0.05</v>
      </c>
      <c r="I305" s="68">
        <v>0.0</v>
      </c>
      <c r="J305" s="69">
        <v>2673.0</v>
      </c>
      <c r="K305" s="70">
        <v>150.0</v>
      </c>
      <c r="L305" s="82">
        <v>6.0</v>
      </c>
      <c r="M305" s="82">
        <v>5.0</v>
      </c>
      <c r="N305" s="82">
        <v>10.0</v>
      </c>
      <c r="O305" s="71">
        <f t="shared" si="14"/>
        <v>150</v>
      </c>
      <c r="P305" s="72">
        <v>43.8</v>
      </c>
      <c r="Q305" s="73">
        <f t="array" ref="Q305">XLOOKUP(K305/1000, '运费（邮政）'!$A$2:$A$21, '运费（邮政）'!$B$2:$B$21, "超出范围", 1)</f>
        <v>1060</v>
      </c>
      <c r="R305" s="72">
        <v>12.99</v>
      </c>
      <c r="S305" s="74">
        <f t="shared" si="2"/>
        <v>8.218458873</v>
      </c>
      <c r="T305" s="75">
        <f t="shared" si="3"/>
        <v>56.79</v>
      </c>
      <c r="U305" s="76">
        <f t="array" ref="U305">XLOOKUP(O305/1000, '运费（橙联）'!$A$2:$A$57, '运费（橙联）'!$B$2:$B$57, "超出范围", 1)</f>
        <v>1367</v>
      </c>
      <c r="V305" s="77">
        <f>(P305*'参数表'!$C$2*(1+'参数表'!$C$3))*$B$1+'参数表'!$C$4</f>
        <v>860.02116</v>
      </c>
      <c r="W305" s="68">
        <v>0.127</v>
      </c>
      <c r="X305" s="78">
        <v>0.0135</v>
      </c>
      <c r="Y305" s="79">
        <f t="shared" si="4"/>
        <v>990.471102</v>
      </c>
      <c r="Z305" s="80">
        <f t="shared" si="5"/>
        <v>0.1592499682</v>
      </c>
      <c r="AA305" s="81">
        <f t="shared" si="6"/>
        <v>0.370546615</v>
      </c>
      <c r="AB305" s="79">
        <f t="shared" si="7"/>
        <v>1281.498203</v>
      </c>
      <c r="AC305" s="80">
        <f t="shared" si="8"/>
        <v>0.1589124006</v>
      </c>
      <c r="AD305" s="81">
        <f t="shared" si="9"/>
        <v>0.479423196</v>
      </c>
      <c r="AE305" s="74">
        <f>P305*(1-I305)*(1+'参数表'!$C$6)*(W305+X305+H305)*1.1+0.4*1.1</f>
        <v>10.536119</v>
      </c>
      <c r="AF305" s="74">
        <f t="shared" si="10"/>
        <v>13.2581735</v>
      </c>
      <c r="AG305" s="29"/>
    </row>
    <row r="306">
      <c r="A306" s="51" t="s">
        <v>985</v>
      </c>
      <c r="B306" s="29"/>
      <c r="C306" s="60" t="s">
        <v>986</v>
      </c>
      <c r="D306" s="2" t="s">
        <v>61</v>
      </c>
      <c r="E306" s="29"/>
      <c r="F306" s="29"/>
      <c r="G306" s="57" t="s">
        <v>987</v>
      </c>
      <c r="H306" s="68">
        <v>0.05</v>
      </c>
      <c r="I306" s="68">
        <v>0.0</v>
      </c>
      <c r="J306" s="69">
        <v>3608.0</v>
      </c>
      <c r="K306" s="70">
        <v>180.0</v>
      </c>
      <c r="L306" s="82">
        <v>5.0</v>
      </c>
      <c r="M306" s="82">
        <v>6.0</v>
      </c>
      <c r="N306" s="82">
        <v>10.0</v>
      </c>
      <c r="O306" s="71">
        <f t="shared" si="14"/>
        <v>180</v>
      </c>
      <c r="P306" s="72">
        <v>55.8</v>
      </c>
      <c r="Q306" s="73">
        <f t="array" ref="Q306">XLOOKUP(K306/1000, '运费（邮政）'!$A$2:$A$21, '运费（邮政）'!$B$2:$B$21, "超出范围", 1)</f>
        <v>1060</v>
      </c>
      <c r="R306" s="72">
        <v>15.99</v>
      </c>
      <c r="S306" s="74">
        <f t="shared" si="2"/>
        <v>9.443658873</v>
      </c>
      <c r="T306" s="75">
        <f t="shared" si="3"/>
        <v>71.79</v>
      </c>
      <c r="U306" s="76">
        <f t="array" ref="U306">XLOOKUP(O306/1000, '运费（橙联）'!$A$2:$A$57, '运费（橙联）'!$B$2:$B$57, "超出范围", 1)</f>
        <v>1367</v>
      </c>
      <c r="V306" s="77">
        <f>(P306*'参数表'!$C$2*(1+'参数表'!$C$3))*$B$1+'参数表'!$C$4</f>
        <v>1033.99956</v>
      </c>
      <c r="W306" s="68">
        <v>0.127</v>
      </c>
      <c r="X306" s="78">
        <v>0.0135</v>
      </c>
      <c r="Y306" s="79">
        <f t="shared" si="4"/>
        <v>1366.690582</v>
      </c>
      <c r="Z306" s="80">
        <f t="shared" si="5"/>
        <v>0.1724835406</v>
      </c>
      <c r="AA306" s="81">
        <f t="shared" si="6"/>
        <v>0.3787945072</v>
      </c>
      <c r="AB306" s="79">
        <f t="shared" si="7"/>
        <v>1820.470983</v>
      </c>
      <c r="AC306" s="80">
        <f t="shared" si="8"/>
        <v>0.1785794427</v>
      </c>
      <c r="AD306" s="81">
        <f t="shared" si="9"/>
        <v>0.5045651283</v>
      </c>
      <c r="AE306" s="74">
        <f>P306*(1-I306)*(1+'参数表'!$C$6)*(W306+X306+H306)*1.1+0.4*1.1</f>
        <v>13.302179</v>
      </c>
      <c r="AF306" s="74">
        <f t="shared" si="10"/>
        <v>16.6528835</v>
      </c>
      <c r="AG306" s="29"/>
    </row>
    <row r="307">
      <c r="A307" s="51" t="s">
        <v>988</v>
      </c>
      <c r="B307" s="29"/>
      <c r="C307" s="60" t="s">
        <v>989</v>
      </c>
      <c r="D307" s="2" t="s">
        <v>61</v>
      </c>
      <c r="E307" s="29"/>
      <c r="F307" s="29"/>
      <c r="G307" s="57" t="s">
        <v>990</v>
      </c>
      <c r="H307" s="68">
        <v>0.05</v>
      </c>
      <c r="I307" s="68">
        <v>0.0</v>
      </c>
      <c r="J307" s="69">
        <v>3608.0</v>
      </c>
      <c r="K307" s="70">
        <v>210.0</v>
      </c>
      <c r="L307" s="82">
        <v>6.0</v>
      </c>
      <c r="M307" s="82">
        <v>7.0</v>
      </c>
      <c r="N307" s="82">
        <v>10.0</v>
      </c>
      <c r="O307" s="71">
        <f t="shared" si="14"/>
        <v>210</v>
      </c>
      <c r="P307" s="72">
        <v>55.8</v>
      </c>
      <c r="Q307" s="73">
        <f t="array" ref="Q307">XLOOKUP(K307/1000, '运费（邮政）'!$A$2:$A$21, '运费（邮政）'!$B$2:$B$21, "超出范围", 1)</f>
        <v>1240</v>
      </c>
      <c r="R307" s="72">
        <v>15.99</v>
      </c>
      <c r="S307" s="74">
        <f t="shared" si="2"/>
        <v>9.683095493</v>
      </c>
      <c r="T307" s="75">
        <f t="shared" si="3"/>
        <v>71.79</v>
      </c>
      <c r="U307" s="76">
        <f t="array" ref="U307">XLOOKUP(O307/1000, '运费（橙联）'!$A$2:$A$57, '运费（橙联）'!$B$2:$B$57, "超出范围", 1)</f>
        <v>1581</v>
      </c>
      <c r="V307" s="77">
        <f>(P307*'参数表'!$C$2*(1+'参数表'!$C$3))*$B$1+'参数表'!$C$4</f>
        <v>1033.99956</v>
      </c>
      <c r="W307" s="68">
        <v>0.127</v>
      </c>
      <c r="X307" s="78">
        <v>0.0135</v>
      </c>
      <c r="Y307" s="79">
        <f t="shared" si="4"/>
        <v>1186.690582</v>
      </c>
      <c r="Z307" s="80">
        <f t="shared" si="5"/>
        <v>0.1497665937</v>
      </c>
      <c r="AA307" s="81">
        <f t="shared" si="6"/>
        <v>0.328905372</v>
      </c>
      <c r="AB307" s="79">
        <f t="shared" si="7"/>
        <v>1606.470983</v>
      </c>
      <c r="AC307" s="80">
        <f t="shared" si="8"/>
        <v>0.1575870725</v>
      </c>
      <c r="AD307" s="81">
        <f t="shared" si="9"/>
        <v>0.4452524897</v>
      </c>
      <c r="AE307" s="74">
        <f>P307*(1-I307)*(1+'参数表'!$C$6)*(W307+X307+H307)*1.1+0.4*1.1</f>
        <v>13.302179</v>
      </c>
      <c r="AF307" s="74">
        <f t="shared" si="10"/>
        <v>16.6528835</v>
      </c>
      <c r="AG307" s="29"/>
    </row>
    <row r="308">
      <c r="A308" s="51" t="s">
        <v>991</v>
      </c>
      <c r="B308" s="29"/>
      <c r="C308" s="60" t="s">
        <v>992</v>
      </c>
      <c r="D308" s="2" t="s">
        <v>61</v>
      </c>
      <c r="E308" s="29"/>
      <c r="F308" s="29"/>
      <c r="G308" s="67" t="s">
        <v>993</v>
      </c>
      <c r="H308" s="68">
        <v>0.05</v>
      </c>
      <c r="I308" s="68">
        <v>0.0</v>
      </c>
      <c r="J308" s="69">
        <v>2727.0</v>
      </c>
      <c r="K308" s="70">
        <v>180.0</v>
      </c>
      <c r="L308" s="82">
        <v>6.0</v>
      </c>
      <c r="M308" s="82">
        <v>5.0</v>
      </c>
      <c r="N308" s="82">
        <v>10.0</v>
      </c>
      <c r="O308" s="71">
        <f t="shared" si="14"/>
        <v>180</v>
      </c>
      <c r="P308" s="72">
        <v>44.6</v>
      </c>
      <c r="Q308" s="73">
        <f t="array" ref="Q308">XLOOKUP(K308/1000, '运费（邮政）'!$A$2:$A$21, '运费（邮政）'!$B$2:$B$21, "超出范围", 1)</f>
        <v>1060</v>
      </c>
      <c r="R308" s="72">
        <v>12.99</v>
      </c>
      <c r="S308" s="74">
        <f t="shared" si="2"/>
        <v>8.300138873</v>
      </c>
      <c r="T308" s="75">
        <f t="shared" si="3"/>
        <v>57.59</v>
      </c>
      <c r="U308" s="76">
        <f t="array" ref="U308">XLOOKUP(O308/1000, '运费（橙联）'!$A$2:$A$57, '运费（橙联）'!$B$2:$B$57, "超出范围", 1)</f>
        <v>1367</v>
      </c>
      <c r="V308" s="77">
        <f>(P308*'参数表'!$C$2*(1+'参数表'!$C$3))*$B$1+'参数表'!$C$4</f>
        <v>871.61972</v>
      </c>
      <c r="W308" s="68">
        <v>0.127</v>
      </c>
      <c r="X308" s="78">
        <v>0.0135</v>
      </c>
      <c r="Y308" s="79">
        <f t="shared" si="4"/>
        <v>1023.885734</v>
      </c>
      <c r="Z308" s="80">
        <f t="shared" si="5"/>
        <v>0.1616695721</v>
      </c>
      <c r="AA308" s="81">
        <f t="shared" si="6"/>
        <v>0.3754623154</v>
      </c>
      <c r="AB308" s="79">
        <f t="shared" si="7"/>
        <v>1303.314275</v>
      </c>
      <c r="AC308" s="80">
        <f t="shared" si="8"/>
        <v>0.1593726262</v>
      </c>
      <c r="AD308" s="81">
        <f t="shared" si="9"/>
        <v>0.4779296938</v>
      </c>
      <c r="AE308" s="74">
        <f>P308*(1-I308)*(1+'参数表'!$C$6)*(W308+X308+H308)*1.1+0.4*1.1</f>
        <v>10.720523</v>
      </c>
      <c r="AF308" s="74">
        <f t="shared" si="10"/>
        <v>13.4425775</v>
      </c>
      <c r="AG308" s="29"/>
    </row>
    <row r="309">
      <c r="A309" s="44" t="s">
        <v>994</v>
      </c>
      <c r="C309" s="60" t="s">
        <v>995</v>
      </c>
      <c r="D309" s="2" t="s">
        <v>61</v>
      </c>
      <c r="E309" s="14"/>
      <c r="F309" s="14"/>
      <c r="G309" s="13" t="s">
        <v>996</v>
      </c>
      <c r="H309" s="3">
        <v>0.05</v>
      </c>
      <c r="I309" s="3">
        <v>0.0</v>
      </c>
      <c r="J309" s="15">
        <v>3828.0</v>
      </c>
      <c r="K309" s="16">
        <v>210.0</v>
      </c>
      <c r="L309" s="16">
        <v>5.0</v>
      </c>
      <c r="M309" s="16">
        <v>8.0</v>
      </c>
      <c r="N309" s="16">
        <v>10.0</v>
      </c>
      <c r="O309" s="17">
        <f t="shared" si="14"/>
        <v>210</v>
      </c>
      <c r="P309" s="18">
        <v>57.9</v>
      </c>
      <c r="Q309" s="6">
        <f t="array" ref="Q309">XLOOKUP(K309/1000, '运费（邮政）'!$A$2:$A$21, '运费（邮政）'!$B$2:$B$21, "超出范围", 1)</f>
        <v>1240</v>
      </c>
      <c r="R309" s="18">
        <v>15.99</v>
      </c>
      <c r="S309" s="19">
        <f t="shared" si="2"/>
        <v>9.897505493</v>
      </c>
      <c r="T309" s="20">
        <f t="shared" si="3"/>
        <v>73.89</v>
      </c>
      <c r="U309" s="21">
        <f t="array" ref="U309">XLOOKUP(O309/1000, '运费（橙联）'!$A$2:$A$57, '运费（橙联）'!$B$2:$B$57, "超出范围", 1)</f>
        <v>1581</v>
      </c>
      <c r="V309" s="22">
        <f>(P309*'参数表'!$C$2*(1+'参数表'!$C$3))*$B$1+'参数表'!$C$4</f>
        <v>1064.44578</v>
      </c>
      <c r="W309" s="3">
        <v>0.127</v>
      </c>
      <c r="X309" s="4">
        <v>0.0135</v>
      </c>
      <c r="Y309" s="23">
        <f t="shared" si="4"/>
        <v>1196.153991</v>
      </c>
      <c r="Z309" s="24">
        <f t="shared" si="5"/>
        <v>0.145485659</v>
      </c>
      <c r="AA309" s="25">
        <f t="shared" si="6"/>
        <v>0.3124749193</v>
      </c>
      <c r="AB309" s="23">
        <f t="shared" si="7"/>
        <v>1585.488172</v>
      </c>
      <c r="AC309" s="24">
        <f t="shared" si="8"/>
        <v>0.1511085351</v>
      </c>
      <c r="AD309" s="25">
        <f t="shared" si="9"/>
        <v>0.4141818631</v>
      </c>
      <c r="AE309" s="26">
        <f>P309*(1-I309)*(1+'参数表'!$C$6)*(W309+X309+H309)*1.1+0.4*1.1</f>
        <v>13.7862395</v>
      </c>
      <c r="AF309" s="26">
        <f t="shared" si="10"/>
        <v>17.136944</v>
      </c>
    </row>
    <row r="310">
      <c r="A310" s="44" t="s">
        <v>997</v>
      </c>
      <c r="C310" s="60" t="s">
        <v>998</v>
      </c>
      <c r="D310" s="2" t="s">
        <v>61</v>
      </c>
      <c r="E310" s="14"/>
      <c r="F310" s="14"/>
      <c r="G310" s="57" t="s">
        <v>999</v>
      </c>
      <c r="H310" s="3">
        <v>0.05</v>
      </c>
      <c r="I310" s="3">
        <v>0.0</v>
      </c>
      <c r="J310" s="15">
        <v>2480.0</v>
      </c>
      <c r="K310" s="16">
        <v>210.0</v>
      </c>
      <c r="L310" s="16">
        <v>5.0</v>
      </c>
      <c r="M310" s="16">
        <v>8.0</v>
      </c>
      <c r="N310" s="16">
        <v>10.0</v>
      </c>
      <c r="O310" s="17">
        <f t="shared" si="14"/>
        <v>210</v>
      </c>
      <c r="P310" s="18">
        <v>42.6</v>
      </c>
      <c r="Q310" s="6">
        <f t="array" ref="Q310">XLOOKUP(K310/1000, '运费（邮政）'!$A$2:$A$21, '运费（邮政）'!$B$2:$B$21, "超出范围", 1)</f>
        <v>1240</v>
      </c>
      <c r="R310" s="18">
        <v>12.99</v>
      </c>
      <c r="S310" s="19">
        <f t="shared" si="2"/>
        <v>8.335375493</v>
      </c>
      <c r="T310" s="20">
        <f t="shared" si="3"/>
        <v>55.59</v>
      </c>
      <c r="U310" s="21">
        <f t="array" ref="U310">XLOOKUP(O310/1000, '运费（橙联）'!$A$2:$A$57, '运费（橙联）'!$B$2:$B$57, "超出范围", 1)</f>
        <v>1581</v>
      </c>
      <c r="V310" s="22">
        <f>(P310*'参数表'!$C$2*(1+'参数表'!$C$3))*$B$1+'参数表'!$C$4</f>
        <v>842.62332</v>
      </c>
      <c r="W310" s="3">
        <v>0.127</v>
      </c>
      <c r="X310" s="4">
        <v>0.0135</v>
      </c>
      <c r="Y310" s="23">
        <f t="shared" si="4"/>
        <v>872.349154</v>
      </c>
      <c r="Z310" s="24">
        <f t="shared" si="5"/>
        <v>0.1442090118</v>
      </c>
      <c r="AA310" s="25">
        <f t="shared" si="6"/>
        <v>0.3517536911</v>
      </c>
      <c r="AB310" s="23">
        <f t="shared" si="7"/>
        <v>1146.774095</v>
      </c>
      <c r="AC310" s="24">
        <f t="shared" si="8"/>
        <v>0.1452756594</v>
      </c>
      <c r="AD310" s="25">
        <f t="shared" si="9"/>
        <v>0.4624089093</v>
      </c>
      <c r="AE310" s="26">
        <f>P310*(1-I310)*(1+'参数表'!$C$6)*(W310+X310+H310)*1.1+0.4*1.1</f>
        <v>10.259513</v>
      </c>
      <c r="AF310" s="26">
        <f t="shared" si="10"/>
        <v>12.9815675</v>
      </c>
    </row>
    <row r="311">
      <c r="A311" s="44" t="s">
        <v>1000</v>
      </c>
      <c r="C311" s="60" t="s">
        <v>1001</v>
      </c>
      <c r="D311" s="2" t="s">
        <v>61</v>
      </c>
      <c r="E311" s="14"/>
      <c r="F311" s="14"/>
      <c r="G311" s="13" t="s">
        <v>1002</v>
      </c>
      <c r="H311" s="3">
        <v>0.05</v>
      </c>
      <c r="I311" s="3">
        <v>0.0</v>
      </c>
      <c r="J311" s="15">
        <v>2600.0</v>
      </c>
      <c r="K311" s="16">
        <v>210.0</v>
      </c>
      <c r="L311" s="82">
        <v>6.0</v>
      </c>
      <c r="M311" s="82">
        <v>7.0</v>
      </c>
      <c r="N311" s="82">
        <v>10.0</v>
      </c>
      <c r="O311" s="17">
        <f t="shared" si="14"/>
        <v>210</v>
      </c>
      <c r="P311" s="18">
        <v>43.8</v>
      </c>
      <c r="Q311" s="6">
        <f t="array" ref="Q311">XLOOKUP(K311/1000, '运费（邮政）'!$A$2:$A$21, '运费（邮政）'!$B$2:$B$21, "超出范围", 1)</f>
        <v>1240</v>
      </c>
      <c r="R311" s="18">
        <v>15.99</v>
      </c>
      <c r="S311" s="19">
        <f t="shared" si="2"/>
        <v>8.457895493</v>
      </c>
      <c r="T311" s="20">
        <f t="shared" si="3"/>
        <v>59.79</v>
      </c>
      <c r="U311" s="21">
        <f t="array" ref="U311">XLOOKUP(O311/1000, '运费（橙联）'!$A$2:$A$57, '运费（橙联）'!$B$2:$B$57, "超出范围", 1)</f>
        <v>1581</v>
      </c>
      <c r="V311" s="22">
        <f>(P311*'参数表'!$C$2*(1+'参数表'!$C$3))*$B$1+'参数表'!$C$4</f>
        <v>860.02116</v>
      </c>
      <c r="W311" s="3">
        <v>0.127</v>
      </c>
      <c r="X311" s="4">
        <v>0.0135</v>
      </c>
      <c r="Y311" s="23">
        <f t="shared" si="4"/>
        <v>883.471102</v>
      </c>
      <c r="Z311" s="24">
        <f t="shared" si="5"/>
        <v>0.1420462895</v>
      </c>
      <c r="AA311" s="25">
        <f t="shared" si="6"/>
        <v>0.3397965777</v>
      </c>
      <c r="AB311" s="23">
        <f t="shared" si="7"/>
        <v>1477.229903</v>
      </c>
      <c r="AC311" s="24">
        <f t="shared" si="8"/>
        <v>0.1739927661</v>
      </c>
      <c r="AD311" s="25">
        <f t="shared" si="9"/>
        <v>0.5681653473</v>
      </c>
      <c r="AE311" s="26">
        <f>P311*(1-I311)*(1+'参数表'!$C$6)*(W311+X311+H311)*1.1+0.4*1.1</f>
        <v>10.536119</v>
      </c>
      <c r="AF311" s="26">
        <f t="shared" si="10"/>
        <v>13.8868235</v>
      </c>
    </row>
    <row r="312">
      <c r="A312" s="44" t="s">
        <v>1003</v>
      </c>
      <c r="C312" s="60" t="s">
        <v>1004</v>
      </c>
      <c r="D312" s="2" t="s">
        <v>61</v>
      </c>
      <c r="E312" s="14"/>
      <c r="F312" s="14"/>
      <c r="G312" s="57" t="s">
        <v>1005</v>
      </c>
      <c r="H312" s="3">
        <v>0.05</v>
      </c>
      <c r="I312" s="3">
        <v>0.0</v>
      </c>
      <c r="J312" s="15">
        <v>3722.0</v>
      </c>
      <c r="K312" s="16">
        <v>210.0</v>
      </c>
      <c r="L312" s="16">
        <v>20.0</v>
      </c>
      <c r="M312" s="16">
        <v>15.0</v>
      </c>
      <c r="N312" s="16">
        <v>8.0</v>
      </c>
      <c r="O312" s="17">
        <f t="shared" si="14"/>
        <v>300</v>
      </c>
      <c r="P312" s="18">
        <v>56.8</v>
      </c>
      <c r="Q312" s="6">
        <f t="array" ref="Q312">XLOOKUP(K312/1000, '运费（邮政）'!$A$2:$A$21, '运费（邮政）'!$B$2:$B$21, "超出范围", 1)</f>
        <v>1240</v>
      </c>
      <c r="R312" s="18">
        <v>15.99</v>
      </c>
      <c r="S312" s="19">
        <f t="shared" si="2"/>
        <v>9.785195493</v>
      </c>
      <c r="T312" s="20">
        <f t="shared" si="3"/>
        <v>72.79</v>
      </c>
      <c r="U312" s="21">
        <f t="array" ref="U312">XLOOKUP(O312/1000, '运费（橙联）'!$A$2:$A$57, '运费（橙联）'!$B$2:$B$57, "超出范围", 1)</f>
        <v>1581</v>
      </c>
      <c r="V312" s="22">
        <f>(P312*'参数表'!$C$2*(1+'参数表'!$C$3))*$B$1+'参数表'!$C$4</f>
        <v>1048.49776</v>
      </c>
      <c r="W312" s="3">
        <v>0.127</v>
      </c>
      <c r="X312" s="4">
        <v>0.0135</v>
      </c>
      <c r="Y312" s="23">
        <f t="shared" si="4"/>
        <v>1181.958872</v>
      </c>
      <c r="Z312" s="24">
        <f t="shared" si="5"/>
        <v>0.1465432047</v>
      </c>
      <c r="AA312" s="25">
        <f t="shared" si="6"/>
        <v>0.3175601483</v>
      </c>
      <c r="AB312" s="23">
        <f t="shared" si="7"/>
        <v>1587.241073</v>
      </c>
      <c r="AC312" s="24">
        <f t="shared" si="8"/>
        <v>0.153561671</v>
      </c>
      <c r="AD312" s="25">
        <f t="shared" si="9"/>
        <v>0.4264484344</v>
      </c>
      <c r="AE312" s="26">
        <f>P312*(1-I312)*(1+'参数表'!$C$6)*(W312+X312+H312)*1.1+0.4*1.1</f>
        <v>13.532684</v>
      </c>
      <c r="AF312" s="26">
        <f t="shared" si="10"/>
        <v>16.8833885</v>
      </c>
    </row>
    <row r="313">
      <c r="A313" s="44" t="s">
        <v>1006</v>
      </c>
      <c r="C313" s="60" t="s">
        <v>1007</v>
      </c>
      <c r="D313" s="2" t="s">
        <v>61</v>
      </c>
      <c r="E313" s="14"/>
      <c r="F313" s="14"/>
      <c r="G313" s="13" t="s">
        <v>1008</v>
      </c>
      <c r="H313" s="3">
        <v>0.05</v>
      </c>
      <c r="I313" s="3">
        <v>0.0</v>
      </c>
      <c r="J313" s="15">
        <v>2509.0</v>
      </c>
      <c r="K313" s="16">
        <v>210.0</v>
      </c>
      <c r="L313" s="16">
        <v>12.0</v>
      </c>
      <c r="M313" s="16">
        <v>4.0</v>
      </c>
      <c r="N313" s="16">
        <v>5.0</v>
      </c>
      <c r="O313" s="17">
        <f t="shared" si="14"/>
        <v>210</v>
      </c>
      <c r="P313" s="18">
        <v>44.2</v>
      </c>
      <c r="Q313" s="6">
        <f t="array" ref="Q313">XLOOKUP(K313/1000, '运费（邮政）'!$A$2:$A$21, '运费（邮政）'!$B$2:$B$21, "超出范围", 1)</f>
        <v>1240</v>
      </c>
      <c r="R313" s="18">
        <v>15.99</v>
      </c>
      <c r="S313" s="19">
        <f t="shared" si="2"/>
        <v>8.498735493</v>
      </c>
      <c r="T313" s="20">
        <f t="shared" si="3"/>
        <v>60.19</v>
      </c>
      <c r="U313" s="21">
        <f t="array" ref="U313">XLOOKUP(O313/1000, '运费（橙联）'!$A$2:$A$57, '运费（橙联）'!$B$2:$B$57, "超出范围", 1)</f>
        <v>1581</v>
      </c>
      <c r="V313" s="22">
        <f>(P313*'参数表'!$C$2*(1+'参数表'!$C$3))*$B$1+'参数表'!$C$4</f>
        <v>865.82044</v>
      </c>
      <c r="W313" s="3">
        <v>0.127</v>
      </c>
      <c r="X313" s="4">
        <v>0.0135</v>
      </c>
      <c r="Y313" s="23">
        <f t="shared" si="4"/>
        <v>1018.178418</v>
      </c>
      <c r="Z313" s="24">
        <f t="shared" si="5"/>
        <v>0.1622233156</v>
      </c>
      <c r="AA313" s="25">
        <f t="shared" si="6"/>
        <v>0.4058104496</v>
      </c>
      <c r="AB313" s="23">
        <f t="shared" si="7"/>
        <v>1606.137939</v>
      </c>
      <c r="AC313" s="24">
        <f t="shared" si="8"/>
        <v>0.1879187665</v>
      </c>
      <c r="AD313" s="25">
        <f t="shared" si="9"/>
        <v>0.6401506333</v>
      </c>
      <c r="AE313" s="26">
        <f>P313*(1-I313)*(1+'参数表'!$C$6)*(W313+X313+H313)*1.1+0.4*1.1</f>
        <v>10.628321</v>
      </c>
      <c r="AF313" s="26">
        <f t="shared" si="10"/>
        <v>13.9790255</v>
      </c>
    </row>
    <row r="314">
      <c r="A314" s="44" t="s">
        <v>1009</v>
      </c>
      <c r="C314" s="60" t="s">
        <v>1010</v>
      </c>
      <c r="D314" s="2" t="s">
        <v>61</v>
      </c>
      <c r="E314" s="14"/>
      <c r="F314" s="14"/>
      <c r="G314" s="13" t="s">
        <v>1011</v>
      </c>
      <c r="H314" s="3">
        <v>0.05</v>
      </c>
      <c r="I314" s="3">
        <v>0.0</v>
      </c>
      <c r="J314" s="15">
        <v>3900.0</v>
      </c>
      <c r="K314" s="16">
        <v>210.0</v>
      </c>
      <c r="L314" s="16">
        <v>7.0</v>
      </c>
      <c r="M314" s="16">
        <v>6.0</v>
      </c>
      <c r="N314" s="16">
        <v>11.0</v>
      </c>
      <c r="O314" s="17">
        <f t="shared" si="14"/>
        <v>210</v>
      </c>
      <c r="P314" s="18">
        <v>58.5</v>
      </c>
      <c r="Q314" s="6">
        <f t="array" ref="Q314">XLOOKUP(K314/1000, '运费（邮政）'!$A$2:$A$21, '运费（邮政）'!$B$2:$B$21, "超出范围", 1)</f>
        <v>1240</v>
      </c>
      <c r="R314" s="18">
        <v>18.99</v>
      </c>
      <c r="S314" s="19">
        <f t="shared" si="2"/>
        <v>9.958765493</v>
      </c>
      <c r="T314" s="20">
        <f t="shared" si="3"/>
        <v>77.49</v>
      </c>
      <c r="U314" s="21">
        <f t="array" ref="U314">XLOOKUP(O314/1000, '运费（橙联）'!$A$2:$A$57, '运费（橙联）'!$B$2:$B$57, "超出范围", 1)</f>
        <v>1581</v>
      </c>
      <c r="V314" s="22">
        <f>(P314*'参数表'!$C$2*(1+'参数表'!$C$3))*$B$1+'参数表'!$C$4</f>
        <v>1073.1447</v>
      </c>
      <c r="W314" s="3">
        <v>0.127</v>
      </c>
      <c r="X314" s="4">
        <v>0.0135</v>
      </c>
      <c r="Y314" s="23">
        <f t="shared" si="4"/>
        <v>1189.714965</v>
      </c>
      <c r="Z314" s="24">
        <f t="shared" si="5"/>
        <v>0.1432183658</v>
      </c>
      <c r="AA314" s="25">
        <f t="shared" si="6"/>
        <v>0.3050551192</v>
      </c>
      <c r="AB314" s="23">
        <f t="shared" si="7"/>
        <v>1907.081926</v>
      </c>
      <c r="AC314" s="24">
        <f t="shared" si="8"/>
        <v>0.1733146781</v>
      </c>
      <c r="AD314" s="25">
        <f t="shared" si="9"/>
        <v>0.4889953656</v>
      </c>
      <c r="AE314" s="26">
        <f>P314*(1-I314)*(1+'参数表'!$C$6)*(W314+X314+H314)*1.1+0.4*1.1</f>
        <v>13.9245425</v>
      </c>
      <c r="AF314" s="26">
        <f t="shared" si="10"/>
        <v>17.903897</v>
      </c>
    </row>
    <row r="315">
      <c r="A315" s="44" t="s">
        <v>1012</v>
      </c>
      <c r="C315" s="60" t="s">
        <v>1013</v>
      </c>
      <c r="D315" s="2" t="s">
        <v>61</v>
      </c>
      <c r="E315" s="14"/>
      <c r="F315" s="14"/>
      <c r="G315" s="13" t="s">
        <v>1014</v>
      </c>
      <c r="H315" s="3">
        <v>0.05</v>
      </c>
      <c r="I315" s="3">
        <v>0.0</v>
      </c>
      <c r="J315" s="15">
        <v>715.0</v>
      </c>
      <c r="K315" s="16">
        <v>210.0</v>
      </c>
      <c r="L315" s="16">
        <v>34.0</v>
      </c>
      <c r="M315" s="16">
        <v>24.0</v>
      </c>
      <c r="N315" s="16">
        <v>2.0</v>
      </c>
      <c r="O315" s="17">
        <f t="shared" si="14"/>
        <v>210</v>
      </c>
      <c r="P315" s="18">
        <v>22.9</v>
      </c>
      <c r="Q315" s="6">
        <f t="array" ref="Q315">XLOOKUP(K315/1000, '运费（邮政）'!$A$2:$A$21, '运费（邮政）'!$B$2:$B$21, "超出范围", 1)</f>
        <v>1240</v>
      </c>
      <c r="R315" s="18">
        <v>12.99</v>
      </c>
      <c r="S315" s="19">
        <f t="shared" si="2"/>
        <v>6.324005493</v>
      </c>
      <c r="T315" s="20">
        <f t="shared" si="3"/>
        <v>35.89</v>
      </c>
      <c r="U315" s="21">
        <f t="array" ref="U315">XLOOKUP(O315/1000, '运费（橙联）'!$A$2:$A$57, '运费（橙联）'!$B$2:$B$57, "超出范围", 1)</f>
        <v>1581</v>
      </c>
      <c r="V315" s="22">
        <f>(P315*'参数表'!$C$2*(1+'参数表'!$C$3))*$B$1+'参数表'!$C$4</f>
        <v>557.00878</v>
      </c>
      <c r="W315" s="3">
        <v>0.127</v>
      </c>
      <c r="X315" s="4">
        <v>0.0135</v>
      </c>
      <c r="Y315" s="23">
        <f t="shared" si="4"/>
        <v>484.763841</v>
      </c>
      <c r="Z315" s="24">
        <f t="shared" si="5"/>
        <v>0.14907554</v>
      </c>
      <c r="AA315" s="25">
        <f t="shared" si="6"/>
        <v>0.677991386</v>
      </c>
      <c r="AB315" s="23">
        <f t="shared" si="7"/>
        <v>1044.803322</v>
      </c>
      <c r="AC315" s="24">
        <f t="shared" si="8"/>
        <v>0.2050089126</v>
      </c>
      <c r="AD315" s="25">
        <f t="shared" si="9"/>
        <v>1.461263387</v>
      </c>
      <c r="AE315" s="26">
        <f>P315*(1-I315)*(1+'参数表'!$C$6)*(W315+X315+H315)*1.1+0.4*1.1</f>
        <v>5.7185645</v>
      </c>
      <c r="AF315" s="26">
        <f t="shared" si="10"/>
        <v>8.440619</v>
      </c>
    </row>
    <row r="316">
      <c r="A316" s="44" t="s">
        <v>1015</v>
      </c>
      <c r="C316" s="60" t="s">
        <v>1016</v>
      </c>
      <c r="D316" s="2" t="s">
        <v>61</v>
      </c>
      <c r="E316" s="14"/>
      <c r="F316" s="14"/>
      <c r="G316" s="13" t="s">
        <v>1017</v>
      </c>
      <c r="H316" s="3">
        <v>0.05</v>
      </c>
      <c r="I316" s="3">
        <v>0.0</v>
      </c>
      <c r="J316" s="15">
        <v>715.0</v>
      </c>
      <c r="K316" s="16">
        <v>210.0</v>
      </c>
      <c r="L316" s="16">
        <v>34.0</v>
      </c>
      <c r="M316" s="16">
        <v>24.0</v>
      </c>
      <c r="N316" s="16">
        <v>2.0</v>
      </c>
      <c r="O316" s="17">
        <f t="shared" si="14"/>
        <v>210</v>
      </c>
      <c r="P316" s="18">
        <v>22.99</v>
      </c>
      <c r="Q316" s="6">
        <f t="array" ref="Q316">XLOOKUP(K316/1000, '运费（邮政）'!$A$2:$A$21, '运费（邮政）'!$B$2:$B$21, "超出范围", 1)</f>
        <v>1240</v>
      </c>
      <c r="R316" s="18">
        <v>12.99</v>
      </c>
      <c r="S316" s="19">
        <f t="shared" si="2"/>
        <v>6.333194493</v>
      </c>
      <c r="T316" s="20">
        <f t="shared" si="3"/>
        <v>35.98</v>
      </c>
      <c r="U316" s="21">
        <f t="array" ref="U316">XLOOKUP(O316/1000, '运费（橙联）'!$A$2:$A$57, '运费（橙联）'!$B$2:$B$57, "超出范围", 1)</f>
        <v>1581</v>
      </c>
      <c r="V316" s="22">
        <f>(P316*'参数表'!$C$2*(1+'参数表'!$C$3))*$B$1+'参数表'!$C$4</f>
        <v>558.313618</v>
      </c>
      <c r="W316" s="3">
        <v>0.127</v>
      </c>
      <c r="X316" s="4">
        <v>0.0135</v>
      </c>
      <c r="Y316" s="23">
        <f t="shared" si="4"/>
        <v>494.5979871</v>
      </c>
      <c r="Z316" s="24">
        <f t="shared" si="5"/>
        <v>0.1515043243</v>
      </c>
      <c r="AA316" s="25">
        <f t="shared" si="6"/>
        <v>0.6917454365</v>
      </c>
      <c r="AB316" s="23">
        <f t="shared" si="7"/>
        <v>1053.33263</v>
      </c>
      <c r="AC316" s="24">
        <f t="shared" si="8"/>
        <v>0.2061655204</v>
      </c>
      <c r="AD316" s="25">
        <f t="shared" si="9"/>
        <v>1.47319249</v>
      </c>
      <c r="AE316" s="26">
        <f>P316*(1-I316)*(1+'参数表'!$C$6)*(W316+X316+H316)*1.1+0.4*1.1</f>
        <v>5.73930995</v>
      </c>
      <c r="AF316" s="26">
        <f t="shared" si="10"/>
        <v>8.46136445</v>
      </c>
    </row>
    <row r="317">
      <c r="A317" s="44" t="s">
        <v>1018</v>
      </c>
      <c r="C317" s="60" t="s">
        <v>1019</v>
      </c>
      <c r="D317" s="2" t="s">
        <v>61</v>
      </c>
      <c r="E317" s="14"/>
      <c r="F317" s="14"/>
      <c r="G317" s="32"/>
      <c r="H317" s="3">
        <v>0.05</v>
      </c>
      <c r="I317" s="3">
        <v>0.0</v>
      </c>
      <c r="J317" s="15"/>
      <c r="K317" s="16"/>
      <c r="L317" s="16">
        <v>34.0</v>
      </c>
      <c r="M317" s="16">
        <v>24.0</v>
      </c>
      <c r="N317" s="16">
        <v>2.0</v>
      </c>
      <c r="O317" s="17">
        <f t="shared" si="14"/>
        <v>204</v>
      </c>
      <c r="P317" s="18"/>
      <c r="Q317" s="6">
        <f t="array" ref="Q317">XLOOKUP(K317/1000, '运费（邮政）'!$A$2:$A$21, '运费（邮政）'!$B$2:$B$21, "超出范围", 1)</f>
        <v>880</v>
      </c>
      <c r="R317" s="18"/>
      <c r="S317" s="19">
        <f t="shared" si="2"/>
        <v>6.521126761</v>
      </c>
      <c r="T317" s="20">
        <f t="shared" si="3"/>
        <v>0</v>
      </c>
      <c r="U317" s="21">
        <f t="array" ref="U317">XLOOKUP(O317/1000, '运费（橙联）'!$A$2:$A$57, '运费（橙联）'!$B$2:$B$57, "超出范围", 1)</f>
        <v>1581</v>
      </c>
      <c r="V317" s="22">
        <f>(P317*'参数表'!$C$2*(1+'参数表'!$C$3))*$B$1+'参数表'!$C$4</f>
        <v>225</v>
      </c>
      <c r="W317" s="3">
        <v>0.127</v>
      </c>
      <c r="X317" s="4">
        <v>0.0135</v>
      </c>
      <c r="Y317" s="23">
        <f t="shared" si="4"/>
        <v>-942.48</v>
      </c>
      <c r="Z317" s="24" t="str">
        <f t="shared" si="5"/>
        <v>#DIV/0!</v>
      </c>
      <c r="AA317" s="25" t="str">
        <f t="shared" si="6"/>
        <v>#DIV/0!</v>
      </c>
      <c r="AB317" s="23">
        <f t="shared" si="7"/>
        <v>-1868.48</v>
      </c>
      <c r="AC317" s="24" t="str">
        <f t="shared" si="8"/>
        <v>#DIV/0!</v>
      </c>
      <c r="AD317" s="25" t="str">
        <f t="shared" si="9"/>
        <v>#DIV/0!</v>
      </c>
      <c r="AE317" s="26">
        <f>P317*(1-I317)*(1+'参数表'!$C$6)*(W317+X317+H317)*1.1+0.4*1.1</f>
        <v>0.44</v>
      </c>
      <c r="AF317" s="26">
        <f t="shared" si="10"/>
        <v>0.44</v>
      </c>
    </row>
    <row r="318">
      <c r="A318" s="44" t="s">
        <v>1020</v>
      </c>
      <c r="B318" s="44" t="s">
        <v>1021</v>
      </c>
      <c r="C318" s="60" t="s">
        <v>1022</v>
      </c>
      <c r="D318" s="2" t="s">
        <v>61</v>
      </c>
      <c r="E318" s="14"/>
      <c r="F318" s="14"/>
      <c r="G318" s="63" t="s">
        <v>1023</v>
      </c>
      <c r="H318" s="3">
        <v>0.05</v>
      </c>
      <c r="I318" s="3">
        <v>0.0</v>
      </c>
      <c r="J318" s="15">
        <v>2075.0</v>
      </c>
      <c r="K318" s="16">
        <v>120.0</v>
      </c>
      <c r="L318" s="16">
        <v>14.0</v>
      </c>
      <c r="M318" s="16">
        <v>13.0</v>
      </c>
      <c r="N318" s="16">
        <v>2.0</v>
      </c>
      <c r="O318" s="17">
        <f t="shared" si="14"/>
        <v>120</v>
      </c>
      <c r="P318" s="18">
        <v>37.8</v>
      </c>
      <c r="Q318" s="6">
        <f t="array" ref="Q318">XLOOKUP(K318/1000, '运费（邮政）'!$A$2:$A$21, '运费（邮政）'!$B$2:$B$21, "超出范围", 1)</f>
        <v>1060</v>
      </c>
      <c r="R318" s="18">
        <v>12.99</v>
      </c>
      <c r="S318" s="19">
        <f t="shared" si="2"/>
        <v>7.605858873</v>
      </c>
      <c r="T318" s="20">
        <f t="shared" si="3"/>
        <v>50.79</v>
      </c>
      <c r="U318" s="21">
        <f t="array" ref="U318">XLOOKUP(O318/1000, '运费（橙联）'!$A$2:$A$57, '运费（橙联）'!$B$2:$B$57, "超出范围", 1)</f>
        <v>1367</v>
      </c>
      <c r="V318" s="22">
        <f>(P318*'参数表'!$C$2*(1+'参数表'!$C$3))*$B$1+'参数表'!$C$4</f>
        <v>773.03196</v>
      </c>
      <c r="W318" s="3">
        <v>0.153</v>
      </c>
      <c r="X318" s="4">
        <v>0.0135</v>
      </c>
      <c r="Y318" s="23">
        <f t="shared" si="4"/>
        <v>763.996666</v>
      </c>
      <c r="Z318" s="24">
        <f t="shared" si="5"/>
        <v>0.1423348733</v>
      </c>
      <c r="AA318" s="25">
        <f t="shared" si="6"/>
        <v>0.3681911643</v>
      </c>
      <c r="AB318" s="23">
        <f t="shared" si="7"/>
        <v>1089.257979</v>
      </c>
      <c r="AC318" s="24">
        <f t="shared" si="8"/>
        <v>0.1510303374</v>
      </c>
      <c r="AD318" s="25">
        <f t="shared" si="9"/>
        <v>0.5249436043</v>
      </c>
      <c r="AE318" s="26">
        <f>P318*(1-I318)*(1+'参数表'!$C$6)*(W318+X318+H318)*1.1+0.4*1.1</f>
        <v>10.342277</v>
      </c>
      <c r="AF318" s="26">
        <f t="shared" si="10"/>
        <v>13.4358455</v>
      </c>
    </row>
    <row r="319">
      <c r="A319" s="44" t="s">
        <v>1024</v>
      </c>
      <c r="B319" s="44" t="s">
        <v>1025</v>
      </c>
      <c r="C319" s="60" t="s">
        <v>1026</v>
      </c>
      <c r="D319" s="2" t="s">
        <v>61</v>
      </c>
      <c r="E319" s="14"/>
      <c r="F319" s="14"/>
      <c r="G319" s="13" t="s">
        <v>1027</v>
      </c>
      <c r="H319" s="3">
        <v>0.05</v>
      </c>
      <c r="I319" s="3">
        <v>0.0</v>
      </c>
      <c r="J319" s="15">
        <v>2475.0</v>
      </c>
      <c r="K319" s="16">
        <v>120.0</v>
      </c>
      <c r="L319" s="16">
        <v>14.0</v>
      </c>
      <c r="M319" s="16">
        <v>13.0</v>
      </c>
      <c r="N319" s="16">
        <v>2.0</v>
      </c>
      <c r="O319" s="17">
        <f t="shared" si="14"/>
        <v>120</v>
      </c>
      <c r="P319" s="18">
        <v>39.8</v>
      </c>
      <c r="Q319" s="6">
        <f t="array" ref="Q319">XLOOKUP(K319/1000, '运费（邮政）'!$A$2:$A$21, '运费（邮政）'!$B$2:$B$21, "超出范围", 1)</f>
        <v>1060</v>
      </c>
      <c r="R319" s="18">
        <v>15.99</v>
      </c>
      <c r="S319" s="19">
        <f t="shared" si="2"/>
        <v>7.810058873</v>
      </c>
      <c r="T319" s="20">
        <f t="shared" si="3"/>
        <v>55.79</v>
      </c>
      <c r="U319" s="21">
        <f t="array" ref="U319">XLOOKUP(O319/1000, '运费（橙联）'!$A$2:$A$57, '运费（橙联）'!$B$2:$B$57, "超出范围", 1)</f>
        <v>1367</v>
      </c>
      <c r="V319" s="22">
        <f>(P319*'参数表'!$C$2*(1+'参数表'!$C$3))*$B$1+'参数表'!$C$4</f>
        <v>802.02836</v>
      </c>
      <c r="W319" s="3">
        <v>0.153</v>
      </c>
      <c r="X319" s="4">
        <v>0.0135</v>
      </c>
      <c r="Y319" s="23">
        <f t="shared" si="4"/>
        <v>573.598606</v>
      </c>
      <c r="Z319" s="24">
        <f t="shared" si="5"/>
        <v>0.1014931357</v>
      </c>
      <c r="AA319" s="25">
        <f t="shared" si="6"/>
        <v>0.2317570125</v>
      </c>
      <c r="AB319" s="23">
        <f t="shared" si="7"/>
        <v>1194.411619</v>
      </c>
      <c r="AC319" s="24">
        <f t="shared" si="8"/>
        <v>0.1507680486</v>
      </c>
      <c r="AD319" s="25">
        <f t="shared" si="9"/>
        <v>0.4825905531</v>
      </c>
      <c r="AE319" s="26">
        <f>P319*(1-I319)*(1+'参数表'!$C$6)*(W319+X319+H319)*1.1+0.4*1.1</f>
        <v>10.866207</v>
      </c>
      <c r="AF319" s="26">
        <f t="shared" si="10"/>
        <v>14.6742255</v>
      </c>
    </row>
    <row r="320">
      <c r="A320" s="44" t="s">
        <v>1028</v>
      </c>
      <c r="B320" s="44" t="s">
        <v>1029</v>
      </c>
      <c r="C320" s="60" t="s">
        <v>1030</v>
      </c>
      <c r="D320" s="2" t="s">
        <v>61</v>
      </c>
      <c r="E320" s="14"/>
      <c r="F320" s="14"/>
      <c r="G320" s="13" t="s">
        <v>1031</v>
      </c>
      <c r="H320" s="3">
        <v>0.05</v>
      </c>
      <c r="I320" s="3">
        <v>0.0</v>
      </c>
      <c r="J320" s="15">
        <v>3300.0</v>
      </c>
      <c r="K320" s="16">
        <v>180.0</v>
      </c>
      <c r="L320" s="16">
        <v>30.0</v>
      </c>
      <c r="M320" s="16">
        <v>20.0</v>
      </c>
      <c r="N320" s="16">
        <v>2.0</v>
      </c>
      <c r="O320" s="17">
        <f t="shared" si="14"/>
        <v>180</v>
      </c>
      <c r="P320" s="18">
        <v>49.8</v>
      </c>
      <c r="Q320" s="6">
        <f t="array" ref="Q320">XLOOKUP(K320/1000, '运费（邮政）'!$A$2:$A$21, '运费（邮政）'!$B$2:$B$21, "超出范围", 1)</f>
        <v>1060</v>
      </c>
      <c r="R320" s="18">
        <v>15.99</v>
      </c>
      <c r="S320" s="19">
        <f t="shared" si="2"/>
        <v>8.831058873</v>
      </c>
      <c r="T320" s="20">
        <f t="shared" si="3"/>
        <v>65.79</v>
      </c>
      <c r="U320" s="21">
        <f t="array" ref="U320">XLOOKUP(O320/1000, '运费（橙联）'!$A$2:$A$57, '运费（橙联）'!$B$2:$B$57, "超出范围", 1)</f>
        <v>1367</v>
      </c>
      <c r="V320" s="22">
        <f>(P320*'参数表'!$C$2*(1+'参数表'!$C$3))*$B$1+'参数表'!$C$4</f>
        <v>947.01036</v>
      </c>
      <c r="W320" s="3">
        <v>0.153</v>
      </c>
      <c r="X320" s="4">
        <v>0.0135</v>
      </c>
      <c r="Y320" s="23">
        <f t="shared" si="4"/>
        <v>796.608306</v>
      </c>
      <c r="Z320" s="24">
        <f t="shared" si="5"/>
        <v>0.1126489488</v>
      </c>
      <c r="AA320" s="25">
        <f t="shared" si="6"/>
        <v>0.2413964564</v>
      </c>
      <c r="AB320" s="23">
        <f t="shared" si="7"/>
        <v>1272.439319</v>
      </c>
      <c r="AC320" s="24">
        <f t="shared" si="8"/>
        <v>0.1362036825</v>
      </c>
      <c r="AD320" s="25">
        <f t="shared" si="9"/>
        <v>0.3855876724</v>
      </c>
      <c r="AE320" s="26">
        <f>P320*(1-I320)*(1+'参数表'!$C$6)*(W320+X320+H320)*1.1+0.4*1.1</f>
        <v>13.485857</v>
      </c>
      <c r="AF320" s="26">
        <f t="shared" si="10"/>
        <v>17.2938755</v>
      </c>
    </row>
    <row r="321">
      <c r="A321" s="44" t="s">
        <v>1032</v>
      </c>
      <c r="B321" s="44" t="s">
        <v>1033</v>
      </c>
      <c r="C321" s="60" t="s">
        <v>1034</v>
      </c>
      <c r="D321" s="2" t="s">
        <v>61</v>
      </c>
      <c r="E321" s="14"/>
      <c r="F321" s="14"/>
      <c r="G321" s="13" t="s">
        <v>1035</v>
      </c>
      <c r="H321" s="3">
        <v>0.05</v>
      </c>
      <c r="I321" s="3">
        <v>0.0</v>
      </c>
      <c r="J321" s="15">
        <v>2075.0</v>
      </c>
      <c r="K321" s="16">
        <v>120.0</v>
      </c>
      <c r="L321" s="16">
        <v>30.0</v>
      </c>
      <c r="M321" s="16">
        <v>20.0</v>
      </c>
      <c r="N321" s="16">
        <v>2.0</v>
      </c>
      <c r="O321" s="17">
        <f t="shared" si="14"/>
        <v>150</v>
      </c>
      <c r="P321" s="18">
        <v>37.8</v>
      </c>
      <c r="Q321" s="6">
        <f t="array" ref="Q321">XLOOKUP(K321/1000, '运费（邮政）'!$A$2:$A$21, '运费（邮政）'!$B$2:$B$21, "超出范围", 1)</f>
        <v>1060</v>
      </c>
      <c r="R321" s="18">
        <v>12.99</v>
      </c>
      <c r="S321" s="19">
        <f t="shared" si="2"/>
        <v>7.605858873</v>
      </c>
      <c r="T321" s="20">
        <f t="shared" si="3"/>
        <v>50.79</v>
      </c>
      <c r="U321" s="21">
        <f t="array" ref="U321">XLOOKUP(O321/1000, '运费（橙联）'!$A$2:$A$57, '运费（橙联）'!$B$2:$B$57, "超出范围", 1)</f>
        <v>1367</v>
      </c>
      <c r="V321" s="22">
        <f>(P321*'参数表'!$C$2*(1+'参数表'!$C$3))*$B$1+'参数表'!$C$4</f>
        <v>773.03196</v>
      </c>
      <c r="W321" s="3">
        <v>0.153</v>
      </c>
      <c r="X321" s="4">
        <v>0.0135</v>
      </c>
      <c r="Y321" s="23">
        <f t="shared" si="4"/>
        <v>763.996666</v>
      </c>
      <c r="Z321" s="24">
        <f t="shared" si="5"/>
        <v>0.1423348733</v>
      </c>
      <c r="AA321" s="25">
        <f t="shared" si="6"/>
        <v>0.3681911643</v>
      </c>
      <c r="AB321" s="23">
        <f t="shared" si="7"/>
        <v>1089.257979</v>
      </c>
      <c r="AC321" s="24">
        <f t="shared" si="8"/>
        <v>0.1510303374</v>
      </c>
      <c r="AD321" s="25">
        <f t="shared" si="9"/>
        <v>0.5249436043</v>
      </c>
      <c r="AE321" s="26">
        <f>P321*(1-I321)*(1+'参数表'!$C$6)*(W321+X321+H321)*1.1+0.4*1.1</f>
        <v>10.342277</v>
      </c>
      <c r="AF321" s="26">
        <f t="shared" si="10"/>
        <v>13.4358455</v>
      </c>
    </row>
    <row r="322">
      <c r="A322" s="44" t="s">
        <v>1036</v>
      </c>
      <c r="B322" s="44" t="s">
        <v>1037</v>
      </c>
      <c r="C322" s="60" t="s">
        <v>1038</v>
      </c>
      <c r="D322" s="2" t="s">
        <v>61</v>
      </c>
      <c r="E322" s="14"/>
      <c r="F322" s="14"/>
      <c r="G322" s="13" t="s">
        <v>1039</v>
      </c>
      <c r="H322" s="3">
        <v>0.05</v>
      </c>
      <c r="I322" s="3">
        <v>0.0</v>
      </c>
      <c r="J322" s="15">
        <v>3300.0</v>
      </c>
      <c r="K322" s="16">
        <v>180.0</v>
      </c>
      <c r="L322" s="16">
        <v>14.0</v>
      </c>
      <c r="M322" s="16">
        <v>15.0</v>
      </c>
      <c r="N322" s="16">
        <v>2.0</v>
      </c>
      <c r="O322" s="17">
        <f t="shared" si="14"/>
        <v>180</v>
      </c>
      <c r="P322" s="18">
        <v>49.8</v>
      </c>
      <c r="Q322" s="6">
        <f t="array" ref="Q322">XLOOKUP(K322/1000, '运费（邮政）'!$A$2:$A$21, '运费（邮政）'!$B$2:$B$21, "超出范围", 1)</f>
        <v>1060</v>
      </c>
      <c r="R322" s="18">
        <v>15.99</v>
      </c>
      <c r="S322" s="19">
        <f t="shared" si="2"/>
        <v>8.831058873</v>
      </c>
      <c r="T322" s="20">
        <f t="shared" si="3"/>
        <v>65.79</v>
      </c>
      <c r="U322" s="21">
        <f t="array" ref="U322">XLOOKUP(O322/1000, '运费（橙联）'!$A$2:$A$57, '运费（橙联）'!$B$2:$B$57, "超出范围", 1)</f>
        <v>1367</v>
      </c>
      <c r="V322" s="22">
        <f>(P322*'参数表'!$C$2*(1+'参数表'!$C$3))*$B$1+'参数表'!$C$4</f>
        <v>947.01036</v>
      </c>
      <c r="W322" s="3">
        <v>0.153</v>
      </c>
      <c r="X322" s="4">
        <v>0.0135</v>
      </c>
      <c r="Y322" s="23">
        <f t="shared" si="4"/>
        <v>796.608306</v>
      </c>
      <c r="Z322" s="24">
        <f t="shared" si="5"/>
        <v>0.1126489488</v>
      </c>
      <c r="AA322" s="25">
        <f t="shared" si="6"/>
        <v>0.2413964564</v>
      </c>
      <c r="AB322" s="23">
        <f t="shared" si="7"/>
        <v>1272.439319</v>
      </c>
      <c r="AC322" s="24">
        <f t="shared" si="8"/>
        <v>0.1362036825</v>
      </c>
      <c r="AD322" s="25">
        <f t="shared" si="9"/>
        <v>0.3855876724</v>
      </c>
      <c r="AE322" s="26">
        <f>P322*(1-I322)*(1+'参数表'!$C$6)*(W322+X322+H322)*1.1+0.4*1.1</f>
        <v>13.485857</v>
      </c>
      <c r="AF322" s="26">
        <f t="shared" si="10"/>
        <v>17.2938755</v>
      </c>
    </row>
    <row r="323">
      <c r="A323" s="44" t="s">
        <v>1040</v>
      </c>
      <c r="B323" s="44" t="s">
        <v>1041</v>
      </c>
      <c r="C323" s="60" t="s">
        <v>1042</v>
      </c>
      <c r="D323" s="2" t="s">
        <v>61</v>
      </c>
      <c r="E323" s="14"/>
      <c r="F323" s="14"/>
      <c r="G323" s="13" t="s">
        <v>1043</v>
      </c>
      <c r="H323" s="3">
        <v>0.05</v>
      </c>
      <c r="I323" s="3">
        <v>0.0</v>
      </c>
      <c r="J323" s="15">
        <v>1430.0</v>
      </c>
      <c r="K323" s="16">
        <v>120.0</v>
      </c>
      <c r="L323" s="16">
        <v>14.0</v>
      </c>
      <c r="M323" s="16">
        <v>13.0</v>
      </c>
      <c r="N323" s="16">
        <v>2.0</v>
      </c>
      <c r="O323" s="17">
        <f t="shared" si="14"/>
        <v>120</v>
      </c>
      <c r="P323" s="18">
        <v>27.8</v>
      </c>
      <c r="Q323" s="6">
        <f t="array" ref="Q323">XLOOKUP(K323/1000, '运费（邮政）'!$A$2:$A$21, '运费（邮政）'!$B$2:$B$21, "超出范围", 1)</f>
        <v>1060</v>
      </c>
      <c r="R323" s="18">
        <v>12.99</v>
      </c>
      <c r="S323" s="19">
        <f t="shared" si="2"/>
        <v>6.584858873</v>
      </c>
      <c r="T323" s="20">
        <f t="shared" si="3"/>
        <v>40.79</v>
      </c>
      <c r="U323" s="21">
        <f t="array" ref="U323">XLOOKUP(O323/1000, '运费（橙联）'!$A$2:$A$57, '运费（橙联）'!$B$2:$B$57, "超出范围", 1)</f>
        <v>1367</v>
      </c>
      <c r="V323" s="22">
        <f>(P323*'参数表'!$C$2*(1+'参数表'!$C$3))*$B$1+'参数表'!$C$4</f>
        <v>628.04996</v>
      </c>
      <c r="W323" s="3">
        <v>0.153</v>
      </c>
      <c r="X323" s="4">
        <v>0.0135</v>
      </c>
      <c r="Y323" s="23">
        <f t="shared" si="4"/>
        <v>360.986966</v>
      </c>
      <c r="Z323" s="24">
        <f t="shared" si="5"/>
        <v>0.09144466663</v>
      </c>
      <c r="AA323" s="25">
        <f t="shared" si="6"/>
        <v>0.2524384378</v>
      </c>
      <c r="AB323" s="23">
        <f t="shared" si="7"/>
        <v>831.230279</v>
      </c>
      <c r="AC323" s="24">
        <f t="shared" si="8"/>
        <v>0.1435090551</v>
      </c>
      <c r="AD323" s="25">
        <f t="shared" si="9"/>
        <v>0.5812799154</v>
      </c>
      <c r="AE323" s="26">
        <f>P323*(1-I323)*(1+'参数表'!$C$6)*(W323+X323+H323)*1.1+0.4*1.1</f>
        <v>7.722627</v>
      </c>
      <c r="AF323" s="26">
        <f t="shared" si="10"/>
        <v>10.8161955</v>
      </c>
    </row>
    <row r="324">
      <c r="A324" s="44" t="s">
        <v>1044</v>
      </c>
      <c r="B324" s="44" t="s">
        <v>1045</v>
      </c>
      <c r="C324" s="60" t="s">
        <v>1046</v>
      </c>
      <c r="D324" s="2" t="s">
        <v>61</v>
      </c>
      <c r="E324" s="14"/>
      <c r="F324" s="14"/>
      <c r="G324" s="13" t="s">
        <v>1047</v>
      </c>
      <c r="H324" s="3">
        <v>0.05</v>
      </c>
      <c r="I324" s="3">
        <v>0.0</v>
      </c>
      <c r="J324" s="15">
        <v>1100.0</v>
      </c>
      <c r="K324" s="16">
        <v>180.0</v>
      </c>
      <c r="L324" s="16">
        <v>14.0</v>
      </c>
      <c r="M324" s="16">
        <v>15.0</v>
      </c>
      <c r="N324" s="16">
        <v>2.0</v>
      </c>
      <c r="O324" s="17">
        <f t="shared" si="14"/>
        <v>180</v>
      </c>
      <c r="P324" s="18">
        <v>24.8</v>
      </c>
      <c r="Q324" s="6">
        <f t="array" ref="Q324">XLOOKUP(K324/1000, '运费（邮政）'!$A$2:$A$21, '运费（邮政）'!$B$2:$B$21, "超出范围", 1)</f>
        <v>1060</v>
      </c>
      <c r="R324" s="18">
        <v>9.99</v>
      </c>
      <c r="S324" s="19">
        <f t="shared" si="2"/>
        <v>6.278558873</v>
      </c>
      <c r="T324" s="20">
        <f t="shared" si="3"/>
        <v>34.79</v>
      </c>
      <c r="U324" s="21">
        <f t="array" ref="U324">XLOOKUP(O324/1000, '运费（橙联）'!$A$2:$A$57, '运费（橙联）'!$B$2:$B$57, "超出范围", 1)</f>
        <v>1367</v>
      </c>
      <c r="V324" s="22">
        <f>(P324*'参数表'!$C$2*(1+'参数表'!$C$3))*$B$1+'参数表'!$C$4</f>
        <v>584.55536</v>
      </c>
      <c r="W324" s="3">
        <v>0.153</v>
      </c>
      <c r="X324" s="4">
        <v>0.0135</v>
      </c>
      <c r="Y324" s="23">
        <f t="shared" si="4"/>
        <v>376.584056</v>
      </c>
      <c r="Z324" s="24">
        <f t="shared" si="5"/>
        <v>0.1069354998</v>
      </c>
      <c r="AA324" s="25">
        <f t="shared" si="6"/>
        <v>0.3423491418</v>
      </c>
      <c r="AB324" s="23">
        <f t="shared" si="7"/>
        <v>565.773869</v>
      </c>
      <c r="AC324" s="24">
        <f t="shared" si="8"/>
        <v>0.1145249503</v>
      </c>
      <c r="AD324" s="25">
        <f t="shared" si="9"/>
        <v>0.5143398809</v>
      </c>
      <c r="AE324" s="26">
        <f>P324*(1-I324)*(1+'参数表'!$C$6)*(W324+X324+H324)*1.1+0.4*1.1</f>
        <v>6.936732</v>
      </c>
      <c r="AF324" s="26">
        <f t="shared" si="10"/>
        <v>9.3158505</v>
      </c>
    </row>
    <row r="325">
      <c r="A325" s="51" t="s">
        <v>1048</v>
      </c>
      <c r="B325" s="51" t="s">
        <v>1049</v>
      </c>
      <c r="C325" s="60" t="s">
        <v>1050</v>
      </c>
      <c r="D325" s="2" t="s">
        <v>61</v>
      </c>
      <c r="E325" s="29"/>
      <c r="F325" s="29"/>
      <c r="G325" s="67" t="s">
        <v>1051</v>
      </c>
      <c r="H325" s="68">
        <v>0.05</v>
      </c>
      <c r="I325" s="68">
        <v>0.0</v>
      </c>
      <c r="J325" s="69">
        <v>1885.0</v>
      </c>
      <c r="K325" s="16">
        <v>180.0</v>
      </c>
      <c r="L325" s="16">
        <v>14.0</v>
      </c>
      <c r="M325" s="16">
        <v>15.0</v>
      </c>
      <c r="N325" s="16">
        <v>2.0</v>
      </c>
      <c r="O325" s="73">
        <f t="shared" si="14"/>
        <v>180</v>
      </c>
      <c r="P325" s="72">
        <v>33.8</v>
      </c>
      <c r="Q325" s="73">
        <f t="array" ref="Q325">XLOOKUP(K325/1000, '运费（邮政）'!$A$2:$A$21, '运费（邮政）'!$B$2:$B$21, "超出范围", 1)</f>
        <v>1060</v>
      </c>
      <c r="R325" s="72">
        <v>12.99</v>
      </c>
      <c r="S325" s="74">
        <f t="shared" si="2"/>
        <v>7.197458873</v>
      </c>
      <c r="T325" s="75">
        <f t="shared" si="3"/>
        <v>46.79</v>
      </c>
      <c r="U325" s="76">
        <f t="array" ref="U325">XLOOKUP(O325/1000, '运费（橙联）'!$A$2:$A$57, '运费（橙联）'!$B$2:$B$57, "超出范围", 1)</f>
        <v>1367</v>
      </c>
      <c r="V325" s="77">
        <f>(P325*'参数表'!$C$2*(1+'参数表'!$C$3))*$B$1+'参数表'!$C$4</f>
        <v>715.03916</v>
      </c>
      <c r="W325" s="3">
        <v>0.153</v>
      </c>
      <c r="X325" s="78">
        <v>0.0135</v>
      </c>
      <c r="Y325" s="79">
        <f t="shared" si="4"/>
        <v>534.792786</v>
      </c>
      <c r="Z325" s="80">
        <f t="shared" si="5"/>
        <v>0.1114244491</v>
      </c>
      <c r="AA325" s="81">
        <f t="shared" si="6"/>
        <v>0.2837097008</v>
      </c>
      <c r="AB325" s="79">
        <f t="shared" si="7"/>
        <v>918.046899</v>
      </c>
      <c r="AC325" s="80">
        <f t="shared" si="8"/>
        <v>0.1381730927</v>
      </c>
      <c r="AD325" s="81">
        <f t="shared" si="9"/>
        <v>0.4870275326</v>
      </c>
      <c r="AE325" s="74">
        <f>P325*(1-I325)*(1+'参数表'!$C$6)*(W325+X325+H325)*1.1+0.4*1.1</f>
        <v>9.294417</v>
      </c>
      <c r="AF325" s="74">
        <f t="shared" si="10"/>
        <v>12.3879855</v>
      </c>
      <c r="AG325" s="29"/>
    </row>
    <row r="326">
      <c r="A326" s="51" t="s">
        <v>1052</v>
      </c>
      <c r="B326" s="51" t="s">
        <v>1053</v>
      </c>
      <c r="C326" s="60" t="s">
        <v>1054</v>
      </c>
      <c r="D326" s="2" t="s">
        <v>61</v>
      </c>
      <c r="E326" s="29"/>
      <c r="F326" s="29"/>
      <c r="G326" s="67" t="s">
        <v>1055</v>
      </c>
      <c r="H326" s="68">
        <v>0.05</v>
      </c>
      <c r="I326" s="68">
        <v>0.0</v>
      </c>
      <c r="J326" s="69">
        <v>1885.0</v>
      </c>
      <c r="K326" s="16">
        <v>180.0</v>
      </c>
      <c r="L326" s="16">
        <v>14.0</v>
      </c>
      <c r="M326" s="16">
        <v>15.0</v>
      </c>
      <c r="N326" s="16">
        <v>2.0</v>
      </c>
      <c r="O326" s="73">
        <f t="shared" si="14"/>
        <v>180</v>
      </c>
      <c r="P326" s="72">
        <v>33.8</v>
      </c>
      <c r="Q326" s="73">
        <f t="array" ref="Q326">XLOOKUP(K326/1000, '运费（邮政）'!$A$2:$A$21, '运费（邮政）'!$B$2:$B$21, "超出范围", 1)</f>
        <v>1060</v>
      </c>
      <c r="R326" s="72">
        <v>12.99</v>
      </c>
      <c r="S326" s="74">
        <f t="shared" si="2"/>
        <v>7.197458873</v>
      </c>
      <c r="T326" s="75">
        <f t="shared" si="3"/>
        <v>46.79</v>
      </c>
      <c r="U326" s="76">
        <f t="array" ref="U326">XLOOKUP(O326/1000, '运费（橙联）'!$A$2:$A$57, '运费（橙联）'!$B$2:$B$57, "超出范围", 1)</f>
        <v>1367</v>
      </c>
      <c r="V326" s="77">
        <f>(P326*'参数表'!$C$2*(1+'参数表'!$C$3))*$B$1+'参数表'!$C$4</f>
        <v>715.03916</v>
      </c>
      <c r="W326" s="3">
        <v>0.153</v>
      </c>
      <c r="X326" s="78">
        <v>0.0135</v>
      </c>
      <c r="Y326" s="79">
        <f t="shared" si="4"/>
        <v>534.792786</v>
      </c>
      <c r="Z326" s="80">
        <f t="shared" si="5"/>
        <v>0.1114244491</v>
      </c>
      <c r="AA326" s="81">
        <f t="shared" si="6"/>
        <v>0.2837097008</v>
      </c>
      <c r="AB326" s="79">
        <f t="shared" si="7"/>
        <v>918.046899</v>
      </c>
      <c r="AC326" s="80">
        <f t="shared" si="8"/>
        <v>0.1381730927</v>
      </c>
      <c r="AD326" s="81">
        <f t="shared" si="9"/>
        <v>0.4870275326</v>
      </c>
      <c r="AE326" s="74">
        <f>P326*(1-I326)*(1+'参数表'!$C$6)*(W326+X326+H326)*1.1+0.4*1.1</f>
        <v>9.294417</v>
      </c>
      <c r="AF326" s="74">
        <f t="shared" si="10"/>
        <v>12.3879855</v>
      </c>
      <c r="AG326" s="29"/>
    </row>
    <row r="327">
      <c r="A327" s="51" t="s">
        <v>1056</v>
      </c>
      <c r="B327" s="51" t="s">
        <v>1057</v>
      </c>
      <c r="C327" s="60" t="s">
        <v>1058</v>
      </c>
      <c r="D327" s="2" t="s">
        <v>61</v>
      </c>
      <c r="E327" s="29"/>
      <c r="F327" s="29"/>
      <c r="G327" s="67" t="s">
        <v>1059</v>
      </c>
      <c r="H327" s="68">
        <v>0.05</v>
      </c>
      <c r="I327" s="68">
        <v>0.0</v>
      </c>
      <c r="J327" s="69">
        <v>2075.0</v>
      </c>
      <c r="K327" s="70">
        <v>120.0</v>
      </c>
      <c r="L327" s="16">
        <v>14.0</v>
      </c>
      <c r="M327" s="16">
        <v>15.0</v>
      </c>
      <c r="N327" s="16">
        <v>2.0</v>
      </c>
      <c r="O327" s="73">
        <f t="shared" si="14"/>
        <v>120</v>
      </c>
      <c r="P327" s="72">
        <v>37.8</v>
      </c>
      <c r="Q327" s="73">
        <f t="array" ref="Q327">XLOOKUP(K327/1000, '运费（邮政）'!$A$2:$A$21, '运费（邮政）'!$B$2:$B$21, "超出范围", 1)</f>
        <v>1060</v>
      </c>
      <c r="R327" s="72">
        <v>12.99</v>
      </c>
      <c r="S327" s="74">
        <f t="shared" si="2"/>
        <v>7.605858873</v>
      </c>
      <c r="T327" s="75">
        <f t="shared" si="3"/>
        <v>50.79</v>
      </c>
      <c r="U327" s="76">
        <f t="array" ref="U327">XLOOKUP(O327/1000, '运费（橙联）'!$A$2:$A$57, '运费（橙联）'!$B$2:$B$57, "超出范围", 1)</f>
        <v>1367</v>
      </c>
      <c r="V327" s="77">
        <f>(P327*'参数表'!$C$2*(1+'参数表'!$C$3))*$B$1+'参数表'!$C$4</f>
        <v>773.03196</v>
      </c>
      <c r="W327" s="3">
        <v>0.153</v>
      </c>
      <c r="X327" s="78">
        <v>0.0135</v>
      </c>
      <c r="Y327" s="79">
        <f t="shared" si="4"/>
        <v>763.996666</v>
      </c>
      <c r="Z327" s="80">
        <f t="shared" si="5"/>
        <v>0.1423348733</v>
      </c>
      <c r="AA327" s="81">
        <f t="shared" si="6"/>
        <v>0.3681911643</v>
      </c>
      <c r="AB327" s="79">
        <f t="shared" si="7"/>
        <v>1089.257979</v>
      </c>
      <c r="AC327" s="80">
        <f t="shared" si="8"/>
        <v>0.1510303374</v>
      </c>
      <c r="AD327" s="81">
        <f t="shared" si="9"/>
        <v>0.5249436043</v>
      </c>
      <c r="AE327" s="74">
        <f>P327*(1-I327)*(1+'参数表'!$C$6)*(W327+X327+H327)*1.1+0.4*1.1</f>
        <v>10.342277</v>
      </c>
      <c r="AF327" s="74">
        <f t="shared" si="10"/>
        <v>13.4358455</v>
      </c>
      <c r="AG327" s="29"/>
    </row>
    <row r="328">
      <c r="A328" s="51" t="s">
        <v>1060</v>
      </c>
      <c r="B328" s="51" t="s">
        <v>1061</v>
      </c>
      <c r="C328" s="60" t="s">
        <v>1062</v>
      </c>
      <c r="D328" s="2" t="s">
        <v>61</v>
      </c>
      <c r="E328" s="29"/>
      <c r="F328" s="29"/>
      <c r="G328" s="67" t="s">
        <v>1063</v>
      </c>
      <c r="H328" s="68">
        <v>0.05</v>
      </c>
      <c r="I328" s="68">
        <v>0.0</v>
      </c>
      <c r="J328" s="69">
        <v>1075.0</v>
      </c>
      <c r="K328" s="70">
        <v>120.0</v>
      </c>
      <c r="L328" s="16">
        <v>14.0</v>
      </c>
      <c r="M328" s="16">
        <v>15.0</v>
      </c>
      <c r="N328" s="16">
        <v>2.0</v>
      </c>
      <c r="O328" s="73">
        <f t="shared" si="14"/>
        <v>120</v>
      </c>
      <c r="P328" s="72">
        <v>24.8</v>
      </c>
      <c r="Q328" s="73">
        <f t="array" ref="Q328">XLOOKUP(K328/1000, '运费（邮政）'!$A$2:$A$21, '运费（邮政）'!$B$2:$B$21, "超出范围", 1)</f>
        <v>1060</v>
      </c>
      <c r="R328" s="72">
        <v>9.99</v>
      </c>
      <c r="S328" s="74">
        <f t="shared" si="2"/>
        <v>6.278558873</v>
      </c>
      <c r="T328" s="75">
        <f t="shared" si="3"/>
        <v>34.79</v>
      </c>
      <c r="U328" s="76">
        <f t="array" ref="U328">XLOOKUP(O328/1000, '运费（橙联）'!$A$2:$A$57, '运费（橙联）'!$B$2:$B$57, "超出范围", 1)</f>
        <v>1367</v>
      </c>
      <c r="V328" s="77">
        <f>(P328*'参数表'!$C$2*(1+'参数表'!$C$3))*$B$1+'参数表'!$C$4</f>
        <v>584.55536</v>
      </c>
      <c r="W328" s="3">
        <v>0.153</v>
      </c>
      <c r="X328" s="78">
        <v>0.0135</v>
      </c>
      <c r="Y328" s="79">
        <f t="shared" si="4"/>
        <v>401.584056</v>
      </c>
      <c r="Z328" s="80">
        <f t="shared" si="5"/>
        <v>0.1140345457</v>
      </c>
      <c r="AA328" s="81">
        <f t="shared" si="6"/>
        <v>0.3735665637</v>
      </c>
      <c r="AB328" s="79">
        <f t="shared" si="7"/>
        <v>590.773869</v>
      </c>
      <c r="AC328" s="80">
        <f t="shared" si="8"/>
        <v>0.1195854947</v>
      </c>
      <c r="AD328" s="81">
        <f t="shared" si="9"/>
        <v>0.5495570874</v>
      </c>
      <c r="AE328" s="74">
        <f>P328*(1-I328)*(1+'参数表'!$C$6)*(W328+X328+H328)*1.1+0.4*1.1</f>
        <v>6.936732</v>
      </c>
      <c r="AF328" s="74">
        <f t="shared" si="10"/>
        <v>9.3158505</v>
      </c>
      <c r="AG328" s="29"/>
    </row>
    <row r="329">
      <c r="A329" s="51" t="s">
        <v>1064</v>
      </c>
      <c r="B329" s="51" t="s">
        <v>1065</v>
      </c>
      <c r="C329" s="60" t="s">
        <v>1066</v>
      </c>
      <c r="E329" s="29"/>
      <c r="F329" s="29"/>
      <c r="G329" s="67" t="s">
        <v>1067</v>
      </c>
      <c r="H329" s="68">
        <v>0.05</v>
      </c>
      <c r="I329" s="68">
        <v>0.0</v>
      </c>
      <c r="J329" s="69">
        <v>991.0</v>
      </c>
      <c r="K329" s="70">
        <v>120.0</v>
      </c>
      <c r="L329" s="16">
        <v>14.0</v>
      </c>
      <c r="M329" s="16">
        <v>15.0</v>
      </c>
      <c r="N329" s="16">
        <v>2.0</v>
      </c>
      <c r="O329" s="73">
        <f t="shared" si="14"/>
        <v>120</v>
      </c>
      <c r="P329" s="72">
        <v>23.8</v>
      </c>
      <c r="Q329" s="73">
        <f t="array" ref="Q329">XLOOKUP(K329/1000, '运费（邮政）'!$A$2:$A$21, '运费（邮政）'!$B$2:$B$21, "超出范围", 1)</f>
        <v>1060</v>
      </c>
      <c r="R329" s="72">
        <v>9.99</v>
      </c>
      <c r="S329" s="74">
        <f t="shared" si="2"/>
        <v>6.176458873</v>
      </c>
      <c r="T329" s="75">
        <f t="shared" si="3"/>
        <v>33.79</v>
      </c>
      <c r="U329" s="76">
        <f t="array" ref="U329">XLOOKUP(O329/1000, '运费（橙联）'!$A$2:$A$57, '运费（橙联）'!$B$2:$B$57, "超出范围", 1)</f>
        <v>1367</v>
      </c>
      <c r="V329" s="77">
        <f>(P329*'参数表'!$C$2*(1+'参数表'!$C$3))*$B$1+'参数表'!$C$4</f>
        <v>570.05716</v>
      </c>
      <c r="W329" s="3">
        <v>0.153</v>
      </c>
      <c r="X329" s="78">
        <v>0.0135</v>
      </c>
      <c r="Y329" s="79">
        <f t="shared" si="4"/>
        <v>380.783086</v>
      </c>
      <c r="Z329" s="80">
        <f t="shared" si="5"/>
        <v>0.1126710516</v>
      </c>
      <c r="AA329" s="81">
        <f t="shared" si="6"/>
        <v>0.3842412573</v>
      </c>
      <c r="AB329" s="79">
        <f t="shared" si="7"/>
        <v>584.471099</v>
      </c>
      <c r="AC329" s="80">
        <f t="shared" si="8"/>
        <v>0.121810999</v>
      </c>
      <c r="AD329" s="81">
        <f t="shared" si="9"/>
        <v>0.589779111</v>
      </c>
      <c r="AE329" s="74">
        <f>P329*(1-I329)*(1+'参数表'!$C$6)*(W329+X329+H329)*1.1+0.4*1.1</f>
        <v>6.674767</v>
      </c>
      <c r="AF329" s="74">
        <f t="shared" si="10"/>
        <v>9.0538855</v>
      </c>
      <c r="AG329" s="29"/>
    </row>
    <row r="330">
      <c r="A330" s="51" t="s">
        <v>1068</v>
      </c>
      <c r="B330" s="51" t="s">
        <v>1069</v>
      </c>
      <c r="C330" s="60" t="s">
        <v>1070</v>
      </c>
      <c r="D330" s="42" t="s">
        <v>61</v>
      </c>
      <c r="E330" s="29"/>
      <c r="F330" s="29"/>
      <c r="G330" s="67" t="s">
        <v>1071</v>
      </c>
      <c r="H330" s="68">
        <v>0.05</v>
      </c>
      <c r="I330" s="68">
        <v>0.0</v>
      </c>
      <c r="J330" s="69">
        <v>1885.0</v>
      </c>
      <c r="K330" s="70">
        <v>120.0</v>
      </c>
      <c r="L330" s="16">
        <v>14.0</v>
      </c>
      <c r="M330" s="16">
        <v>15.0</v>
      </c>
      <c r="N330" s="16">
        <v>2.0</v>
      </c>
      <c r="O330" s="73">
        <f t="shared" si="14"/>
        <v>120</v>
      </c>
      <c r="P330" s="72">
        <v>33.8</v>
      </c>
      <c r="Q330" s="73">
        <f t="array" ref="Q330">XLOOKUP(K330/1000, '运费（邮政）'!$A$2:$A$21, '运费（邮政）'!$B$2:$B$21, "超出范围", 1)</f>
        <v>1060</v>
      </c>
      <c r="R330" s="72">
        <v>12.99</v>
      </c>
      <c r="S330" s="74">
        <f t="shared" si="2"/>
        <v>7.197458873</v>
      </c>
      <c r="T330" s="75">
        <f t="shared" si="3"/>
        <v>46.79</v>
      </c>
      <c r="U330" s="76">
        <f t="array" ref="U330">XLOOKUP(O330/1000, '运费（橙联）'!$A$2:$A$57, '运费（橙联）'!$B$2:$B$57, "超出范围", 1)</f>
        <v>1367</v>
      </c>
      <c r="V330" s="77">
        <f>(P330*'参数表'!$C$2*(1+'参数表'!$C$3))*$B$1+'参数表'!$C$4</f>
        <v>715.03916</v>
      </c>
      <c r="W330" s="3">
        <v>0.153</v>
      </c>
      <c r="X330" s="78">
        <v>0.0135</v>
      </c>
      <c r="Y330" s="79">
        <f t="shared" si="4"/>
        <v>534.792786</v>
      </c>
      <c r="Z330" s="80">
        <f t="shared" si="5"/>
        <v>0.1114244491</v>
      </c>
      <c r="AA330" s="81">
        <f t="shared" si="6"/>
        <v>0.2837097008</v>
      </c>
      <c r="AB330" s="79">
        <f t="shared" si="7"/>
        <v>918.046899</v>
      </c>
      <c r="AC330" s="80">
        <f t="shared" si="8"/>
        <v>0.1381730927</v>
      </c>
      <c r="AD330" s="81">
        <f t="shared" si="9"/>
        <v>0.4870275326</v>
      </c>
      <c r="AE330" s="74">
        <f>P330*(1-I330)*(1+'参数表'!$C$6)*(W330+X330+H330)*1.1+0.4*1.1</f>
        <v>9.294417</v>
      </c>
      <c r="AF330" s="74">
        <f t="shared" si="10"/>
        <v>12.3879855</v>
      </c>
      <c r="AG330" s="29"/>
    </row>
    <row r="331">
      <c r="A331" s="51" t="s">
        <v>1072</v>
      </c>
      <c r="B331" s="51" t="s">
        <v>1073</v>
      </c>
      <c r="C331" s="60" t="s">
        <v>1074</v>
      </c>
      <c r="D331" s="42" t="s">
        <v>61</v>
      </c>
      <c r="E331" s="29"/>
      <c r="F331" s="29"/>
      <c r="G331" s="67" t="s">
        <v>1075</v>
      </c>
      <c r="H331" s="68">
        <v>0.05</v>
      </c>
      <c r="I331" s="68">
        <v>0.0</v>
      </c>
      <c r="J331" s="69">
        <v>1860.0</v>
      </c>
      <c r="K331" s="70">
        <v>180.0</v>
      </c>
      <c r="L331" s="82">
        <v>32.0</v>
      </c>
      <c r="M331" s="82">
        <v>32.0</v>
      </c>
      <c r="N331" s="84">
        <v>2.0</v>
      </c>
      <c r="O331" s="73">
        <f t="shared" si="14"/>
        <v>256</v>
      </c>
      <c r="P331" s="72">
        <v>33.8</v>
      </c>
      <c r="Q331" s="73">
        <f t="array" ref="Q331">XLOOKUP(K331/1000, '运费（邮政）'!$A$2:$A$21, '运费（邮政）'!$B$2:$B$21, "超出范围", 1)</f>
        <v>1060</v>
      </c>
      <c r="R331" s="72">
        <v>12.99</v>
      </c>
      <c r="S331" s="74">
        <f t="shared" si="2"/>
        <v>8.704501127</v>
      </c>
      <c r="T331" s="75">
        <f t="shared" si="3"/>
        <v>46.79</v>
      </c>
      <c r="U331" s="76">
        <f t="array" ref="U331">XLOOKUP(O331/1000, '运费（橙联）'!$A$2:$A$57, '运费（橙联）'!$B$2:$B$57, "超出范围", 1)</f>
        <v>1581</v>
      </c>
      <c r="V331" s="77">
        <f>(P331*'参数表'!$C$2*(1+'参数表'!$C$3))*$B$1+'参数表'!$C$4</f>
        <v>715.03916</v>
      </c>
      <c r="W331" s="3">
        <v>0.153</v>
      </c>
      <c r="X331" s="78">
        <v>0.0135</v>
      </c>
      <c r="Y331" s="79">
        <f t="shared" si="4"/>
        <v>559.792786</v>
      </c>
      <c r="Z331" s="80">
        <f t="shared" si="5"/>
        <v>0.1166332165</v>
      </c>
      <c r="AA331" s="81">
        <f t="shared" si="6"/>
        <v>0.3009638634</v>
      </c>
      <c r="AB331" s="79">
        <f t="shared" si="7"/>
        <v>729.046899</v>
      </c>
      <c r="AC331" s="80">
        <f t="shared" si="8"/>
        <v>0.1097271445</v>
      </c>
      <c r="AD331" s="81">
        <f t="shared" si="9"/>
        <v>0.3919606984</v>
      </c>
      <c r="AE331" s="74">
        <f>P331*(1-I331)*(1+'参数表'!$C$6)*(W331+X331+H331)*1.1+0.4*1.1</f>
        <v>9.294417</v>
      </c>
      <c r="AF331" s="74">
        <f t="shared" si="10"/>
        <v>12.3879855</v>
      </c>
      <c r="AG331" s="29"/>
    </row>
    <row r="332">
      <c r="A332" s="51" t="s">
        <v>1076</v>
      </c>
      <c r="B332" s="51" t="s">
        <v>1077</v>
      </c>
      <c r="C332" s="60" t="s">
        <v>1078</v>
      </c>
      <c r="D332" s="42" t="s">
        <v>61</v>
      </c>
      <c r="E332" s="29"/>
      <c r="F332" s="29"/>
      <c r="G332" s="67" t="s">
        <v>1079</v>
      </c>
      <c r="H332" s="68">
        <v>0.05</v>
      </c>
      <c r="I332" s="68">
        <v>0.0</v>
      </c>
      <c r="J332" s="69">
        <v>2075.0</v>
      </c>
      <c r="K332" s="70">
        <v>120.0</v>
      </c>
      <c r="L332" s="82">
        <v>30.0</v>
      </c>
      <c r="M332" s="82">
        <v>10.0</v>
      </c>
      <c r="N332" s="82">
        <v>2.0</v>
      </c>
      <c r="O332" s="73">
        <f t="shared" si="14"/>
        <v>120</v>
      </c>
      <c r="P332" s="72">
        <v>36.8</v>
      </c>
      <c r="Q332" s="73">
        <f t="array" ref="Q332">XLOOKUP(K332/1000, '运费（邮政）'!$A$2:$A$21, '运费（邮政）'!$B$2:$B$21, "超出范围", 1)</f>
        <v>1060</v>
      </c>
      <c r="R332" s="72">
        <v>9.99</v>
      </c>
      <c r="S332" s="74">
        <f t="shared" si="2"/>
        <v>7.503758873</v>
      </c>
      <c r="T332" s="75">
        <f t="shared" si="3"/>
        <v>46.79</v>
      </c>
      <c r="U332" s="76">
        <f t="array" ref="U332">XLOOKUP(O332/1000, '运费（橙联）'!$A$2:$A$57, '运费（橙联）'!$B$2:$B$57, "超出范围", 1)</f>
        <v>1367</v>
      </c>
      <c r="V332" s="77">
        <f>(P332*'参数表'!$C$2*(1+'参数表'!$C$3))*$B$1+'参数表'!$C$4</f>
        <v>758.53376</v>
      </c>
      <c r="W332" s="3">
        <v>0.153</v>
      </c>
      <c r="X332" s="78">
        <v>0.0135</v>
      </c>
      <c r="Y332" s="79">
        <f t="shared" si="4"/>
        <v>659.195696</v>
      </c>
      <c r="Z332" s="80">
        <f t="shared" si="5"/>
        <v>0.1261473699</v>
      </c>
      <c r="AA332" s="81">
        <f t="shared" si="6"/>
        <v>0.3176846728</v>
      </c>
      <c r="AB332" s="79">
        <f t="shared" si="7"/>
        <v>674.407109</v>
      </c>
      <c r="AC332" s="80">
        <f t="shared" si="8"/>
        <v>0.1015034374</v>
      </c>
      <c r="AD332" s="81">
        <f t="shared" si="9"/>
        <v>0.3250154742</v>
      </c>
      <c r="AE332" s="74">
        <f>P332*(1-I332)*(1+'参数表'!$C$6)*(W332+X332+H332)*1.1+0.4*1.1</f>
        <v>10.080312</v>
      </c>
      <c r="AF332" s="74">
        <f t="shared" si="10"/>
        <v>12.4594305</v>
      </c>
      <c r="AG332" s="29"/>
    </row>
    <row r="333">
      <c r="A333" s="51" t="s">
        <v>1080</v>
      </c>
      <c r="B333" s="29"/>
      <c r="C333" s="60" t="s">
        <v>1081</v>
      </c>
      <c r="D333" s="42" t="s">
        <v>61</v>
      </c>
      <c r="E333" s="29"/>
      <c r="F333" s="29"/>
      <c r="G333" s="67" t="s">
        <v>1082</v>
      </c>
      <c r="H333" s="68">
        <v>0.05</v>
      </c>
      <c r="I333" s="68">
        <v>0.0</v>
      </c>
      <c r="J333" s="69">
        <v>4100.0</v>
      </c>
      <c r="K333" s="70">
        <v>450.0</v>
      </c>
      <c r="L333" s="82">
        <v>40.0</v>
      </c>
      <c r="M333" s="82">
        <v>8.0</v>
      </c>
      <c r="N333" s="82">
        <v>3.0</v>
      </c>
      <c r="O333" s="73">
        <f t="shared" si="14"/>
        <v>450</v>
      </c>
      <c r="P333" s="72">
        <v>62.8</v>
      </c>
      <c r="Q333" s="73">
        <f t="array" ref="Q333">XLOOKUP(K333/1000, '运费（邮政）'!$A$2:$A$21, '运费（邮政）'!$B$2:$B$21, "超出范围", 1)</f>
        <v>1600</v>
      </c>
      <c r="R333" s="72">
        <v>15.0</v>
      </c>
      <c r="S333" s="74">
        <f t="shared" si="2"/>
        <v>11.23582366</v>
      </c>
      <c r="T333" s="75">
        <f t="shared" si="3"/>
        <v>77.8</v>
      </c>
      <c r="U333" s="76">
        <f t="array" ref="U333">XLOOKUP(O333/1000, '运费（橙联）'!$A$2:$A$57, '运费（橙联）'!$B$2:$B$57, "超出范围", 1)</f>
        <v>2060</v>
      </c>
      <c r="V333" s="77">
        <f>(P333*'参数表'!$C$2*(1+'参数表'!$C$3))*$B$1+'参数表'!$C$4</f>
        <v>1135.48696</v>
      </c>
      <c r="W333" s="68">
        <v>0.127</v>
      </c>
      <c r="X333" s="78">
        <v>0.0135</v>
      </c>
      <c r="Y333" s="79">
        <f t="shared" si="4"/>
        <v>1099.568612</v>
      </c>
      <c r="Z333" s="80">
        <f t="shared" si="5"/>
        <v>0.1233031995</v>
      </c>
      <c r="AA333" s="81">
        <f t="shared" si="6"/>
        <v>0.2681874663</v>
      </c>
      <c r="AB333" s="79">
        <f t="shared" si="7"/>
        <v>1187.740152</v>
      </c>
      <c r="AC333" s="80">
        <f t="shared" si="8"/>
        <v>0.1075111474</v>
      </c>
      <c r="AD333" s="81">
        <f t="shared" si="9"/>
        <v>0.28969272</v>
      </c>
      <c r="AE333" s="74">
        <f>P333*(1-I333)*(1+'参数表'!$C$6)*(W333+X333+H333)*1.1+0.4*1.1</f>
        <v>14.915714</v>
      </c>
      <c r="AF333" s="74">
        <f t="shared" si="10"/>
        <v>18.058964</v>
      </c>
      <c r="AG333" s="29"/>
    </row>
    <row r="334">
      <c r="A334" s="51" t="s">
        <v>1083</v>
      </c>
      <c r="B334" s="51" t="s">
        <v>1084</v>
      </c>
      <c r="C334" s="60" t="s">
        <v>1085</v>
      </c>
      <c r="D334" s="42" t="s">
        <v>61</v>
      </c>
      <c r="E334" s="29"/>
      <c r="F334" s="29"/>
      <c r="G334" s="85" t="s">
        <v>1086</v>
      </c>
      <c r="H334" s="68">
        <v>0.05</v>
      </c>
      <c r="I334" s="68">
        <v>0.0</v>
      </c>
      <c r="J334" s="69">
        <v>2400.0</v>
      </c>
      <c r="K334" s="70">
        <v>180.0</v>
      </c>
      <c r="L334" s="16">
        <v>14.0</v>
      </c>
      <c r="M334" s="16">
        <v>15.0</v>
      </c>
      <c r="N334" s="16">
        <v>2.0</v>
      </c>
      <c r="O334" s="73">
        <f t="shared" si="14"/>
        <v>180</v>
      </c>
      <c r="P334" s="72">
        <v>39.8</v>
      </c>
      <c r="Q334" s="73">
        <f t="array" ref="Q334">XLOOKUP(K334/1000, '运费（邮政）'!$A$2:$A$21, '运费（邮政）'!$B$2:$B$21, "超出范围", 1)</f>
        <v>1060</v>
      </c>
      <c r="R334" s="72">
        <v>12.99</v>
      </c>
      <c r="S334" s="74">
        <f t="shared" si="2"/>
        <v>7.810058873</v>
      </c>
      <c r="T334" s="75">
        <f t="shared" si="3"/>
        <v>52.79</v>
      </c>
      <c r="U334" s="76">
        <f t="array" ref="U334">XLOOKUP(O334/1000, '运费（橙联）'!$A$2:$A$57, '运费（橙联）'!$B$2:$B$57, "超出范围", 1)</f>
        <v>1367</v>
      </c>
      <c r="V334" s="77">
        <f>(P334*'参数表'!$C$2*(1+'参数表'!$C$3))*$B$1+'参数表'!$C$4</f>
        <v>802.02836</v>
      </c>
      <c r="W334" s="86">
        <v>0.153</v>
      </c>
      <c r="X334" s="78">
        <v>0.0135</v>
      </c>
      <c r="Y334" s="79">
        <f t="shared" si="4"/>
        <v>648.598606</v>
      </c>
      <c r="Z334" s="80">
        <f t="shared" si="5"/>
        <v>0.114763714</v>
      </c>
      <c r="AA334" s="81">
        <f t="shared" si="6"/>
        <v>0.2702494192</v>
      </c>
      <c r="AB334" s="79">
        <f t="shared" si="7"/>
        <v>944.863519</v>
      </c>
      <c r="AC334" s="80">
        <f t="shared" si="8"/>
        <v>0.126046002</v>
      </c>
      <c r="AD334" s="81">
        <f t="shared" si="9"/>
        <v>0.3936931329</v>
      </c>
      <c r="AE334" s="74">
        <f>P334*(1-I334)*(1+'参数表'!$C$6)*(W334+X334+H334)*1.1+0.4*1.1</f>
        <v>10.866207</v>
      </c>
      <c r="AF334" s="74">
        <f t="shared" si="10"/>
        <v>13.9597755</v>
      </c>
      <c r="AG334" s="29"/>
    </row>
    <row r="335">
      <c r="A335" s="87" t="s">
        <v>1087</v>
      </c>
      <c r="B335" s="87" t="s">
        <v>1088</v>
      </c>
      <c r="C335" s="60" t="s">
        <v>1089</v>
      </c>
      <c r="D335" s="42"/>
      <c r="E335" s="42">
        <v>3.13</v>
      </c>
      <c r="F335" s="29"/>
      <c r="G335" s="67" t="s">
        <v>1090</v>
      </c>
      <c r="H335" s="68">
        <v>0.05</v>
      </c>
      <c r="I335" s="68">
        <v>0.0</v>
      </c>
      <c r="J335" s="69">
        <v>2860.0</v>
      </c>
      <c r="K335" s="88"/>
      <c r="L335" s="84">
        <v>34.0</v>
      </c>
      <c r="M335" s="84">
        <v>24.0</v>
      </c>
      <c r="N335" s="84">
        <v>2.0</v>
      </c>
      <c r="O335" s="73">
        <f t="shared" si="14"/>
        <v>204</v>
      </c>
      <c r="P335" s="89"/>
      <c r="Q335" s="73">
        <f t="array" ref="Q335">XLOOKUP(K335/1000, '运费（邮政）'!$A$2:$A$21, '运费（邮政）'!$B$2:$B$21, "超出范围", 1)</f>
        <v>880</v>
      </c>
      <c r="R335" s="89"/>
      <c r="S335" s="74">
        <f t="shared" si="2"/>
        <v>6.521126761</v>
      </c>
      <c r="T335" s="75">
        <f t="shared" si="3"/>
        <v>0</v>
      </c>
      <c r="U335" s="76">
        <f t="array" ref="U335">XLOOKUP(O335/1000, '运费（橙联）'!$A$2:$A$57, '运费（橙联）'!$B$2:$B$57, "超出范围", 1)</f>
        <v>1581</v>
      </c>
      <c r="V335" s="77">
        <f>(P335*'参数表'!$C$2*(1+'参数表'!$C$3))*$B$1+'参数表'!$C$4</f>
        <v>225</v>
      </c>
      <c r="W335" s="86">
        <v>0.153</v>
      </c>
      <c r="X335" s="78">
        <v>0.0135</v>
      </c>
      <c r="Y335" s="79">
        <f t="shared" si="4"/>
        <v>-3802.48</v>
      </c>
      <c r="Z335" s="80" t="str">
        <f t="shared" si="5"/>
        <v>#DIV/0!</v>
      </c>
      <c r="AA335" s="81">
        <f t="shared" si="6"/>
        <v>-1.329538462</v>
      </c>
      <c r="AB335" s="79">
        <f t="shared" si="7"/>
        <v>-4728.48</v>
      </c>
      <c r="AC335" s="80" t="str">
        <f t="shared" si="8"/>
        <v>#DIV/0!</v>
      </c>
      <c r="AD335" s="81">
        <f t="shared" si="9"/>
        <v>-1.653314685</v>
      </c>
      <c r="AE335" s="74">
        <f>P335*(1-I335)*(1+'参数表'!$C$6)*(W335+X335+H335)*1.1+0.4*1.1</f>
        <v>0.44</v>
      </c>
      <c r="AF335" s="74">
        <f t="shared" si="10"/>
        <v>0.44</v>
      </c>
      <c r="AG335" s="29"/>
    </row>
    <row r="336">
      <c r="A336" s="51" t="s">
        <v>1091</v>
      </c>
      <c r="B336" s="51" t="s">
        <v>1092</v>
      </c>
      <c r="C336" s="60" t="s">
        <v>1093</v>
      </c>
      <c r="D336" s="42" t="s">
        <v>61</v>
      </c>
      <c r="E336" s="29"/>
      <c r="F336" s="29"/>
      <c r="G336" s="85" t="s">
        <v>1094</v>
      </c>
      <c r="H336" s="68">
        <v>0.05</v>
      </c>
      <c r="I336" s="68">
        <v>0.0</v>
      </c>
      <c r="J336" s="69">
        <v>3300.0</v>
      </c>
      <c r="K336" s="70">
        <v>180.0</v>
      </c>
      <c r="L336" s="16">
        <v>14.0</v>
      </c>
      <c r="M336" s="16">
        <v>15.0</v>
      </c>
      <c r="N336" s="16">
        <v>2.0</v>
      </c>
      <c r="O336" s="73">
        <f t="shared" si="14"/>
        <v>180</v>
      </c>
      <c r="P336" s="72">
        <v>49.8</v>
      </c>
      <c r="Q336" s="73">
        <f t="array" ref="Q336">XLOOKUP(K336/1000, '运费（邮政）'!$A$2:$A$21, '运费（邮政）'!$B$2:$B$21, "超出范围", 1)</f>
        <v>1060</v>
      </c>
      <c r="R336" s="72">
        <v>12.99</v>
      </c>
      <c r="S336" s="74">
        <f t="shared" si="2"/>
        <v>8.831058873</v>
      </c>
      <c r="T336" s="75">
        <f t="shared" si="3"/>
        <v>62.79</v>
      </c>
      <c r="U336" s="76">
        <f t="array" ref="U336">XLOOKUP(O336/1000, '运费（橙联）'!$A$2:$A$57, '运费（橙联）'!$B$2:$B$57, "超出范围", 1)</f>
        <v>1367</v>
      </c>
      <c r="V336" s="77">
        <f>(P336*'参数表'!$C$2*(1+'参数表'!$C$3))*$B$1+'参数表'!$C$4</f>
        <v>947.01036</v>
      </c>
      <c r="W336" s="86">
        <v>0.153</v>
      </c>
      <c r="X336" s="78">
        <v>0.0135</v>
      </c>
      <c r="Y336" s="79">
        <f t="shared" si="4"/>
        <v>796.608306</v>
      </c>
      <c r="Z336" s="80">
        <f t="shared" si="5"/>
        <v>0.1126489488</v>
      </c>
      <c r="AA336" s="81">
        <f t="shared" si="6"/>
        <v>0.2413964564</v>
      </c>
      <c r="AB336" s="79">
        <f t="shared" si="7"/>
        <v>947.891219</v>
      </c>
      <c r="AC336" s="80">
        <f t="shared" si="8"/>
        <v>0.1063113597</v>
      </c>
      <c r="AD336" s="81">
        <f t="shared" si="9"/>
        <v>0.2872397633</v>
      </c>
      <c r="AE336" s="74">
        <f>P336*(1-I336)*(1+'参数表'!$C$6)*(W336+X336+H336)*1.1+0.4*1.1</f>
        <v>13.485857</v>
      </c>
      <c r="AF336" s="74">
        <f t="shared" si="10"/>
        <v>16.5794255</v>
      </c>
      <c r="AG336" s="29"/>
    </row>
    <row r="337">
      <c r="A337" s="66" t="s">
        <v>1095</v>
      </c>
      <c r="B337" s="51" t="s">
        <v>1096</v>
      </c>
      <c r="C337" s="60" t="s">
        <v>1097</v>
      </c>
      <c r="D337" s="42" t="s">
        <v>61</v>
      </c>
      <c r="E337" s="29"/>
      <c r="F337" s="29"/>
      <c r="G337" s="67" t="s">
        <v>1098</v>
      </c>
      <c r="H337" s="68">
        <v>0.05</v>
      </c>
      <c r="I337" s="68">
        <v>0.0</v>
      </c>
      <c r="J337" s="69">
        <v>3583.0</v>
      </c>
      <c r="K337" s="70">
        <v>180.0</v>
      </c>
      <c r="L337" s="16">
        <v>14.0</v>
      </c>
      <c r="M337" s="16">
        <v>15.0</v>
      </c>
      <c r="N337" s="16">
        <v>2.0</v>
      </c>
      <c r="O337" s="73">
        <f t="shared" si="14"/>
        <v>180</v>
      </c>
      <c r="P337" s="72">
        <v>52.8</v>
      </c>
      <c r="Q337" s="73">
        <f t="array" ref="Q337">XLOOKUP(K337/1000, '运费（邮政）'!$A$2:$A$21, '运费（邮政）'!$B$2:$B$21, "超出范围", 1)</f>
        <v>1060</v>
      </c>
      <c r="R337" s="72">
        <v>12.99</v>
      </c>
      <c r="S337" s="74">
        <f t="shared" si="2"/>
        <v>9.137358873</v>
      </c>
      <c r="T337" s="75">
        <f t="shared" si="3"/>
        <v>65.79</v>
      </c>
      <c r="U337" s="76">
        <f t="array" ref="U337">XLOOKUP(O337/1000, '运费（橙联）'!$A$2:$A$57, '运费（橙联）'!$B$2:$B$57, "超出范围", 1)</f>
        <v>1367</v>
      </c>
      <c r="V337" s="77">
        <f>(P337*'参数表'!$C$2*(1+'参数表'!$C$3))*$B$1+'参数表'!$C$4</f>
        <v>990.50496</v>
      </c>
      <c r="W337" s="86">
        <v>0.153</v>
      </c>
      <c r="X337" s="78">
        <v>0.0135</v>
      </c>
      <c r="Y337" s="79">
        <f t="shared" si="4"/>
        <v>828.011216</v>
      </c>
      <c r="Z337" s="80">
        <f t="shared" si="5"/>
        <v>0.1104368353</v>
      </c>
      <c r="AA337" s="81">
        <f t="shared" si="6"/>
        <v>0.2310943946</v>
      </c>
      <c r="AB337" s="79">
        <f t="shared" si="7"/>
        <v>935.799529</v>
      </c>
      <c r="AC337" s="80">
        <f t="shared" si="8"/>
        <v>0.1001692891</v>
      </c>
      <c r="AD337" s="81">
        <f t="shared" si="9"/>
        <v>0.2611776525</v>
      </c>
      <c r="AE337" s="74">
        <f>P337*(1-I337)*(1+'参数表'!$C$6)*(W337+X337+H337)*1.1+0.4*1.1</f>
        <v>14.271752</v>
      </c>
      <c r="AF337" s="74">
        <f t="shared" si="10"/>
        <v>17.3653205</v>
      </c>
      <c r="AG337" s="29"/>
    </row>
    <row r="338">
      <c r="A338" s="51" t="s">
        <v>1099</v>
      </c>
      <c r="B338" s="66" t="s">
        <v>1100</v>
      </c>
      <c r="C338" s="60" t="s">
        <v>1101</v>
      </c>
      <c r="D338" s="42" t="s">
        <v>61</v>
      </c>
      <c r="E338" s="29"/>
      <c r="F338" s="29"/>
      <c r="G338" s="67" t="s">
        <v>1102</v>
      </c>
      <c r="H338" s="68">
        <v>0.05</v>
      </c>
      <c r="I338" s="68">
        <v>0.0</v>
      </c>
      <c r="J338" s="69">
        <v>2420.0</v>
      </c>
      <c r="K338" s="70">
        <v>120.0</v>
      </c>
      <c r="L338" s="16">
        <v>14.0</v>
      </c>
      <c r="M338" s="16">
        <v>15.0</v>
      </c>
      <c r="N338" s="16">
        <v>1.0</v>
      </c>
      <c r="O338" s="73">
        <f t="shared" si="14"/>
        <v>120</v>
      </c>
      <c r="P338" s="72">
        <v>39.8</v>
      </c>
      <c r="Q338" s="73">
        <f t="array" ref="Q338">XLOOKUP(K338/1000, '运费（邮政）'!$A$2:$A$21, '运费（邮政）'!$B$2:$B$21, "超出范围", 1)</f>
        <v>1060</v>
      </c>
      <c r="R338" s="72">
        <v>12.99</v>
      </c>
      <c r="S338" s="74">
        <f t="shared" si="2"/>
        <v>7.810058873</v>
      </c>
      <c r="T338" s="75">
        <f t="shared" si="3"/>
        <v>52.79</v>
      </c>
      <c r="U338" s="76">
        <f t="array" ref="U338">XLOOKUP(O338/1000, '运费（橙联）'!$A$2:$A$57, '运费（橙联）'!$B$2:$B$57, "超出范围", 1)</f>
        <v>1367</v>
      </c>
      <c r="V338" s="77">
        <f>(P338*'参数表'!$C$2*(1+'参数表'!$C$3))*$B$1+'参数表'!$C$4</f>
        <v>802.02836</v>
      </c>
      <c r="W338" s="86">
        <v>0.153</v>
      </c>
      <c r="X338" s="78">
        <v>0.0135</v>
      </c>
      <c r="Y338" s="79">
        <f t="shared" si="4"/>
        <v>628.598606</v>
      </c>
      <c r="Z338" s="80">
        <f t="shared" si="5"/>
        <v>0.1112248931</v>
      </c>
      <c r="AA338" s="81">
        <f t="shared" si="6"/>
        <v>0.2597514901</v>
      </c>
      <c r="AB338" s="79">
        <f t="shared" si="7"/>
        <v>924.863519</v>
      </c>
      <c r="AC338" s="80">
        <f t="shared" si="8"/>
        <v>0.1233779764</v>
      </c>
      <c r="AD338" s="81">
        <f t="shared" si="9"/>
        <v>0.3821750079</v>
      </c>
      <c r="AE338" s="74">
        <f>P338*(1-I338)*(1+'参数表'!$C$6)*(W338+X338+H338)*1.1+0.4*1.1</f>
        <v>10.866207</v>
      </c>
      <c r="AF338" s="74">
        <f t="shared" si="10"/>
        <v>13.9597755</v>
      </c>
      <c r="AG338" s="29"/>
    </row>
    <row r="339">
      <c r="A339" s="66" t="s">
        <v>1103</v>
      </c>
      <c r="B339" s="51" t="s">
        <v>1104</v>
      </c>
      <c r="C339" s="60" t="s">
        <v>1105</v>
      </c>
      <c r="D339" s="42" t="s">
        <v>1106</v>
      </c>
      <c r="E339" s="29"/>
      <c r="F339" s="29"/>
      <c r="G339" s="67" t="s">
        <v>1107</v>
      </c>
      <c r="H339" s="68">
        <v>0.05</v>
      </c>
      <c r="I339" s="68">
        <v>0.0</v>
      </c>
      <c r="J339" s="69">
        <v>8000.0</v>
      </c>
      <c r="K339" s="70">
        <v>310.0</v>
      </c>
      <c r="L339" s="84">
        <v>34.0</v>
      </c>
      <c r="M339" s="84">
        <v>24.0</v>
      </c>
      <c r="N339" s="84">
        <v>2.0</v>
      </c>
      <c r="O339" s="73">
        <f t="shared" si="14"/>
        <v>310</v>
      </c>
      <c r="P339" s="72">
        <v>112.0</v>
      </c>
      <c r="Q339" s="73">
        <f t="array" ref="Q339">XLOOKUP(K339/1000, '运费（邮政）'!$A$2:$A$21, '运费（邮政）'!$B$2:$B$21, "超出范围", 1)</f>
        <v>1420</v>
      </c>
      <c r="R339" s="72">
        <v>21.99</v>
      </c>
      <c r="S339" s="74">
        <f t="shared" si="2"/>
        <v>15.5408338</v>
      </c>
      <c r="T339" s="75">
        <f t="shared" si="3"/>
        <v>133.99</v>
      </c>
      <c r="U339" s="76">
        <f t="array" ref="U339">XLOOKUP(O339/1000, '运费（橙联）'!$A$2:$A$57, '运费（橙联）'!$B$2:$B$57, "超出范围", 1)</f>
        <v>1778</v>
      </c>
      <c r="V339" s="77">
        <f>(P339*'参数表'!$C$2*(1+'参数表'!$C$3))*$B$1+'参数表'!$C$4</f>
        <v>1848.7984</v>
      </c>
      <c r="W339" s="86">
        <v>0.153</v>
      </c>
      <c r="X339" s="78">
        <v>0.0135</v>
      </c>
      <c r="Y339" s="79">
        <f t="shared" si="4"/>
        <v>2255.22864</v>
      </c>
      <c r="Z339" s="80">
        <f t="shared" si="5"/>
        <v>0.1418026056</v>
      </c>
      <c r="AA339" s="81">
        <f t="shared" si="6"/>
        <v>0.28190358</v>
      </c>
      <c r="AB339" s="79">
        <f t="shared" si="7"/>
        <v>2427.367813</v>
      </c>
      <c r="AC339" s="80">
        <f t="shared" si="8"/>
        <v>0.1275777262</v>
      </c>
      <c r="AD339" s="81">
        <f t="shared" si="9"/>
        <v>0.3034209766</v>
      </c>
      <c r="AE339" s="74">
        <f>P339*(1-I339)*(1+'参数表'!$C$6)*(W339+X339+H339)*1.1+0.4*1.1</f>
        <v>29.78008</v>
      </c>
      <c r="AF339" s="74">
        <f t="shared" si="10"/>
        <v>35.0169985</v>
      </c>
      <c r="AG339" s="29"/>
    </row>
    <row r="340">
      <c r="A340" s="51" t="s">
        <v>1108</v>
      </c>
      <c r="B340" s="51" t="s">
        <v>1109</v>
      </c>
      <c r="C340" s="60" t="s">
        <v>1110</v>
      </c>
      <c r="D340" s="42" t="s">
        <v>1106</v>
      </c>
      <c r="E340" s="29"/>
      <c r="F340" s="29"/>
      <c r="G340" s="67" t="s">
        <v>1111</v>
      </c>
      <c r="H340" s="68">
        <v>0.05</v>
      </c>
      <c r="I340" s="68">
        <v>0.0</v>
      </c>
      <c r="J340" s="69">
        <v>2750.0</v>
      </c>
      <c r="K340" s="70">
        <v>310.0</v>
      </c>
      <c r="L340" s="82">
        <v>14.0</v>
      </c>
      <c r="M340" s="82">
        <v>16.0</v>
      </c>
      <c r="N340" s="82">
        <v>4.0</v>
      </c>
      <c r="O340" s="73">
        <f t="shared" si="14"/>
        <v>310</v>
      </c>
      <c r="P340" s="72">
        <v>46.8</v>
      </c>
      <c r="Q340" s="73">
        <f t="array" ref="Q340">XLOOKUP(K340/1000, '运费（邮政）'!$A$2:$A$21, '运费（邮政）'!$B$2:$B$21, "超出范围", 1)</f>
        <v>1420</v>
      </c>
      <c r="R340" s="72">
        <v>12.99</v>
      </c>
      <c r="S340" s="74">
        <f t="shared" si="2"/>
        <v>8.883913803</v>
      </c>
      <c r="T340" s="75">
        <f t="shared" si="3"/>
        <v>59.79</v>
      </c>
      <c r="U340" s="76">
        <f t="array" ref="U340">XLOOKUP(O340/1000, '运费（橙联）'!$A$2:$A$57, '运费（橙联）'!$B$2:$B$57, "超出范围", 1)</f>
        <v>1778</v>
      </c>
      <c r="V340" s="77">
        <f>(P340*'参数表'!$C$2*(1+'参数表'!$C$3))*$B$1+'参数表'!$C$4</f>
        <v>903.51576</v>
      </c>
      <c r="W340" s="86">
        <v>0.153</v>
      </c>
      <c r="X340" s="78">
        <v>0.0135</v>
      </c>
      <c r="Y340" s="79">
        <f t="shared" si="4"/>
        <v>672.205396</v>
      </c>
      <c r="Z340" s="80">
        <f t="shared" si="5"/>
        <v>0.1011504448</v>
      </c>
      <c r="AA340" s="81">
        <f t="shared" si="6"/>
        <v>0.2444383258</v>
      </c>
      <c r="AB340" s="79">
        <f t="shared" si="7"/>
        <v>815.982909</v>
      </c>
      <c r="AC340" s="80">
        <f t="shared" si="8"/>
        <v>0.09610902348</v>
      </c>
      <c r="AD340" s="81">
        <f t="shared" si="9"/>
        <v>0.2967210578</v>
      </c>
      <c r="AE340" s="74">
        <f>P340*(1-I340)*(1+'参数表'!$C$6)*(W340+X340+H340)*1.1+0.4*1.1</f>
        <v>12.699962</v>
      </c>
      <c r="AF340" s="74">
        <f t="shared" si="10"/>
        <v>15.7935305</v>
      </c>
      <c r="AG340" s="29"/>
    </row>
    <row r="341">
      <c r="A341" s="51" t="s">
        <v>1112</v>
      </c>
      <c r="B341" s="51" t="s">
        <v>1113</v>
      </c>
      <c r="C341" s="60" t="s">
        <v>1114</v>
      </c>
      <c r="D341" s="42" t="s">
        <v>1106</v>
      </c>
      <c r="E341" s="42"/>
      <c r="F341" s="29"/>
      <c r="G341" s="63" t="s">
        <v>1115</v>
      </c>
      <c r="H341" s="68">
        <v>0.05</v>
      </c>
      <c r="I341" s="68">
        <v>0.0</v>
      </c>
      <c r="J341" s="69">
        <v>3850.0</v>
      </c>
      <c r="K341" s="70">
        <v>210.0</v>
      </c>
      <c r="L341" s="82">
        <v>14.0</v>
      </c>
      <c r="M341" s="82">
        <v>13.0</v>
      </c>
      <c r="N341" s="82">
        <v>3.0</v>
      </c>
      <c r="O341" s="73">
        <f t="shared" si="14"/>
        <v>210</v>
      </c>
      <c r="P341" s="72">
        <v>58.8</v>
      </c>
      <c r="Q341" s="73">
        <f t="array" ref="Q341">XLOOKUP(K341/1000, '运费（邮政）'!$A$2:$A$21, '运费（邮政）'!$B$2:$B$21, "超出范围", 1)</f>
        <v>1240</v>
      </c>
      <c r="R341" s="72">
        <v>15.99</v>
      </c>
      <c r="S341" s="74">
        <f t="shared" si="2"/>
        <v>9.989395493</v>
      </c>
      <c r="T341" s="75">
        <f t="shared" si="3"/>
        <v>74.79</v>
      </c>
      <c r="U341" s="76">
        <f t="array" ref="U341">XLOOKUP(O341/1000, '运费（橙联）'!$A$2:$A$57, '运费（橙联）'!$B$2:$B$57, "超出范围", 1)</f>
        <v>1581</v>
      </c>
      <c r="V341" s="77">
        <f>(P341*'参数表'!$C$2*(1+'参数表'!$C$3))*$B$1+'参数表'!$C$4</f>
        <v>1077.49416</v>
      </c>
      <c r="W341" s="86">
        <v>0.153</v>
      </c>
      <c r="X341" s="78">
        <v>0.0135</v>
      </c>
      <c r="Y341" s="79">
        <f t="shared" si="4"/>
        <v>1009.817036</v>
      </c>
      <c r="Z341" s="80">
        <f t="shared" si="5"/>
        <v>0.1209419656</v>
      </c>
      <c r="AA341" s="81">
        <f t="shared" si="6"/>
        <v>0.2622901392</v>
      </c>
      <c r="AB341" s="79">
        <f t="shared" si="7"/>
        <v>1321.164249</v>
      </c>
      <c r="AC341" s="80">
        <f t="shared" si="8"/>
        <v>0.1244013048</v>
      </c>
      <c r="AD341" s="81">
        <f t="shared" si="9"/>
        <v>0.3431595452</v>
      </c>
      <c r="AE341" s="74">
        <f>P341*(1-I341)*(1+'参数表'!$C$6)*(W341+X341+H341)*1.1+0.4*1.1</f>
        <v>15.843542</v>
      </c>
      <c r="AF341" s="74">
        <f t="shared" si="10"/>
        <v>19.6515605</v>
      </c>
      <c r="AG341" s="29"/>
    </row>
    <row r="342">
      <c r="A342" s="51" t="s">
        <v>1116</v>
      </c>
      <c r="B342" s="29"/>
      <c r="C342" s="60" t="s">
        <v>1117</v>
      </c>
      <c r="D342" s="42" t="s">
        <v>1106</v>
      </c>
      <c r="E342" s="29"/>
      <c r="F342" s="29"/>
      <c r="G342" s="67" t="s">
        <v>1118</v>
      </c>
      <c r="H342" s="68">
        <v>0.05</v>
      </c>
      <c r="I342" s="68">
        <v>0.0</v>
      </c>
      <c r="J342" s="69">
        <v>1650.0</v>
      </c>
      <c r="K342" s="70">
        <v>120.0</v>
      </c>
      <c r="L342" s="16">
        <v>14.0</v>
      </c>
      <c r="M342" s="16">
        <v>15.0</v>
      </c>
      <c r="N342" s="16">
        <v>2.0</v>
      </c>
      <c r="O342" s="73">
        <f t="shared" si="14"/>
        <v>120</v>
      </c>
      <c r="P342" s="72">
        <v>31.2</v>
      </c>
      <c r="Q342" s="73">
        <f t="array" ref="Q342">XLOOKUP(K342/1000, '运费（邮政）'!$A$2:$A$21, '运费（邮政）'!$B$2:$B$21, "超出范围", 1)</f>
        <v>1060</v>
      </c>
      <c r="R342" s="72">
        <v>9.99</v>
      </c>
      <c r="S342" s="74">
        <f t="shared" si="2"/>
        <v>6.931998873</v>
      </c>
      <c r="T342" s="75">
        <f t="shared" si="3"/>
        <v>41.19</v>
      </c>
      <c r="U342" s="76">
        <f t="array" ref="U342">XLOOKUP(O342/1000, '运费（橙联）'!$A$2:$A$57, '运费（橙联）'!$B$2:$B$57, "超出范围", 1)</f>
        <v>1367</v>
      </c>
      <c r="V342" s="77">
        <f>(P342*'参数表'!$C$2*(1+'参数表'!$C$3))*$B$1+'参数表'!$C$4</f>
        <v>677.34384</v>
      </c>
      <c r="W342" s="86">
        <v>0.153</v>
      </c>
      <c r="X342" s="78">
        <v>0.0135</v>
      </c>
      <c r="Y342" s="79">
        <f t="shared" si="4"/>
        <v>497.310264</v>
      </c>
      <c r="Z342" s="80">
        <f t="shared" si="5"/>
        <v>0.1122495179</v>
      </c>
      <c r="AA342" s="81">
        <f t="shared" si="6"/>
        <v>0.30140016</v>
      </c>
      <c r="AB342" s="79">
        <f t="shared" si="7"/>
        <v>593.711597</v>
      </c>
      <c r="AC342" s="80">
        <f t="shared" si="8"/>
        <v>0.1015068605</v>
      </c>
      <c r="AD342" s="81">
        <f t="shared" si="9"/>
        <v>0.3598252103</v>
      </c>
      <c r="AE342" s="74">
        <f>P342*(1-I342)*(1+'参数表'!$C$6)*(W342+X342+H342)*1.1+0.4*1.1</f>
        <v>8.613308</v>
      </c>
      <c r="AF342" s="74">
        <f t="shared" si="10"/>
        <v>10.9924265</v>
      </c>
      <c r="AG342" s="29"/>
    </row>
    <row r="343">
      <c r="A343" s="51" t="s">
        <v>1119</v>
      </c>
      <c r="B343" s="51" t="s">
        <v>1120</v>
      </c>
      <c r="C343" s="60" t="s">
        <v>1121</v>
      </c>
      <c r="D343" s="42" t="s">
        <v>1106</v>
      </c>
      <c r="E343" s="29"/>
      <c r="F343" s="29"/>
      <c r="G343" s="67" t="s">
        <v>1122</v>
      </c>
      <c r="H343" s="68">
        <v>0.05</v>
      </c>
      <c r="I343" s="68">
        <v>0.0</v>
      </c>
      <c r="J343" s="69">
        <v>4500.0</v>
      </c>
      <c r="K343" s="70">
        <v>310.0</v>
      </c>
      <c r="L343" s="16">
        <v>19.0</v>
      </c>
      <c r="M343" s="16">
        <v>15.0</v>
      </c>
      <c r="N343" s="16">
        <v>4.0</v>
      </c>
      <c r="O343" s="73">
        <f t="shared" si="14"/>
        <v>310</v>
      </c>
      <c r="P343" s="72">
        <v>66.8</v>
      </c>
      <c r="Q343" s="73">
        <f t="array" ref="Q343">XLOOKUP(K343/1000, '运费（邮政）'!$A$2:$A$21, '运费（邮政）'!$B$2:$B$21, "超出范围", 1)</f>
        <v>1420</v>
      </c>
      <c r="R343" s="72">
        <v>15.99</v>
      </c>
      <c r="S343" s="74">
        <f t="shared" si="2"/>
        <v>10.9259138</v>
      </c>
      <c r="T343" s="75">
        <f t="shared" si="3"/>
        <v>82.79</v>
      </c>
      <c r="U343" s="76">
        <f t="array" ref="U343">XLOOKUP(O343/1000, '运费（橙联）'!$A$2:$A$57, '运费（橙联）'!$B$2:$B$57, "超出范围", 1)</f>
        <v>1778</v>
      </c>
      <c r="V343" s="77">
        <f>(P343*'参数表'!$C$2*(1+'参数表'!$C$3))*$B$1+'参数表'!$C$4</f>
        <v>1193.47976</v>
      </c>
      <c r="W343" s="86">
        <v>0.153</v>
      </c>
      <c r="X343" s="78">
        <v>0.0135</v>
      </c>
      <c r="Y343" s="79">
        <f t="shared" si="4"/>
        <v>1018.224796</v>
      </c>
      <c r="Z343" s="80">
        <f t="shared" si="5"/>
        <v>0.1073442688</v>
      </c>
      <c r="AA343" s="81">
        <f t="shared" si="6"/>
        <v>0.2262721769</v>
      </c>
      <c r="AB343" s="79">
        <f t="shared" si="7"/>
        <v>1196.586409</v>
      </c>
      <c r="AC343" s="80">
        <f t="shared" si="8"/>
        <v>0.1017836073</v>
      </c>
      <c r="AD343" s="81">
        <f t="shared" si="9"/>
        <v>0.2659080909</v>
      </c>
      <c r="AE343" s="74">
        <f>P343*(1-I343)*(1+'参数表'!$C$6)*(W343+X343+H343)*1.1+0.4*1.1</f>
        <v>17.939262</v>
      </c>
      <c r="AF343" s="74">
        <f t="shared" si="10"/>
        <v>21.7472805</v>
      </c>
      <c r="AG343" s="29"/>
    </row>
    <row r="344">
      <c r="A344" s="51" t="s">
        <v>1123</v>
      </c>
      <c r="B344" s="51" t="s">
        <v>1124</v>
      </c>
      <c r="C344" s="60" t="s">
        <v>1125</v>
      </c>
      <c r="D344" s="42" t="s">
        <v>1106</v>
      </c>
      <c r="E344" s="29"/>
      <c r="F344" s="29"/>
      <c r="G344" s="67" t="s">
        <v>1126</v>
      </c>
      <c r="H344" s="68">
        <v>0.05</v>
      </c>
      <c r="I344" s="68">
        <v>0.0</v>
      </c>
      <c r="J344" s="69">
        <v>1572.0</v>
      </c>
      <c r="K344" s="70">
        <v>120.0</v>
      </c>
      <c r="L344" s="16">
        <v>14.0</v>
      </c>
      <c r="M344" s="16">
        <v>15.0</v>
      </c>
      <c r="N344" s="16">
        <v>2.0</v>
      </c>
      <c r="O344" s="73">
        <f t="shared" si="14"/>
        <v>120</v>
      </c>
      <c r="P344" s="72">
        <v>29.8</v>
      </c>
      <c r="Q344" s="73">
        <f t="array" ref="Q344">XLOOKUP(K344/1000, '运费（邮政）'!$A$2:$A$21, '运费（邮政）'!$B$2:$B$21, "超出范围", 1)</f>
        <v>1060</v>
      </c>
      <c r="R344" s="72">
        <v>9.99</v>
      </c>
      <c r="S344" s="74">
        <f t="shared" si="2"/>
        <v>6.789058873</v>
      </c>
      <c r="T344" s="75">
        <f t="shared" si="3"/>
        <v>39.79</v>
      </c>
      <c r="U344" s="76">
        <f t="array" ref="U344">XLOOKUP(O344/1000, '运费（橙联）'!$A$2:$A$57, '运费（橙联）'!$B$2:$B$57, "超出范围", 1)</f>
        <v>1367</v>
      </c>
      <c r="V344" s="77">
        <f>(P344*'参数表'!$C$2*(1+'参数表'!$C$3))*$B$1+'参数表'!$C$4</f>
        <v>657.04636</v>
      </c>
      <c r="W344" s="86">
        <v>0.153</v>
      </c>
      <c r="X344" s="78">
        <v>0.0135</v>
      </c>
      <c r="Y344" s="79">
        <f t="shared" si="4"/>
        <v>428.588906</v>
      </c>
      <c r="Z344" s="80">
        <f t="shared" si="5"/>
        <v>0.101282944</v>
      </c>
      <c r="AA344" s="81">
        <f t="shared" si="6"/>
        <v>0.2726392532</v>
      </c>
      <c r="AB344" s="79">
        <f t="shared" si="7"/>
        <v>545.287719</v>
      </c>
      <c r="AC344" s="80">
        <f t="shared" si="8"/>
        <v>0.09650802612</v>
      </c>
      <c r="AD344" s="81">
        <f t="shared" si="9"/>
        <v>0.3468751393</v>
      </c>
      <c r="AE344" s="74">
        <f>P344*(1-I344)*(1+'参数表'!$C$6)*(W344+X344+H344)*1.1+0.4*1.1</f>
        <v>8.246557</v>
      </c>
      <c r="AF344" s="74">
        <f t="shared" si="10"/>
        <v>10.6256755</v>
      </c>
      <c r="AG344" s="29"/>
    </row>
    <row r="345">
      <c r="A345" s="51" t="s">
        <v>1127</v>
      </c>
      <c r="B345" s="51" t="s">
        <v>1128</v>
      </c>
      <c r="C345" s="60" t="s">
        <v>1129</v>
      </c>
      <c r="D345" s="42" t="s">
        <v>1106</v>
      </c>
      <c r="E345" s="29"/>
      <c r="F345" s="29"/>
      <c r="G345" s="67" t="s">
        <v>1130</v>
      </c>
      <c r="H345" s="68">
        <v>0.05</v>
      </c>
      <c r="I345" s="68">
        <v>0.0</v>
      </c>
      <c r="J345" s="69">
        <v>2500.0</v>
      </c>
      <c r="K345" s="70">
        <v>180.0</v>
      </c>
      <c r="L345" s="16">
        <v>14.0</v>
      </c>
      <c r="M345" s="16">
        <v>15.0</v>
      </c>
      <c r="N345" s="16">
        <v>2.0</v>
      </c>
      <c r="O345" s="73">
        <f t="shared" si="14"/>
        <v>180</v>
      </c>
      <c r="P345" s="72">
        <v>40.8</v>
      </c>
      <c r="Q345" s="73">
        <f t="array" ref="Q345">XLOOKUP(K345/1000, '运费（邮政）'!$A$2:$A$21, '运费（邮政）'!$B$2:$B$21, "超出范围", 1)</f>
        <v>1060</v>
      </c>
      <c r="R345" s="72">
        <v>12.99</v>
      </c>
      <c r="S345" s="74">
        <f t="shared" si="2"/>
        <v>7.912158873</v>
      </c>
      <c r="T345" s="75">
        <f t="shared" si="3"/>
        <v>53.79</v>
      </c>
      <c r="U345" s="76">
        <f t="array" ref="U345">XLOOKUP(O345/1000, '运费（橙联）'!$A$2:$A$57, '运费（橙联）'!$B$2:$B$57, "超出范围", 1)</f>
        <v>1367</v>
      </c>
      <c r="V345" s="77">
        <f>(P345*'参数表'!$C$2*(1+'参数表'!$C$3))*$B$1+'参数表'!$C$4</f>
        <v>816.52656</v>
      </c>
      <c r="W345" s="86">
        <v>0.153</v>
      </c>
      <c r="X345" s="78">
        <v>0.0135</v>
      </c>
      <c r="Y345" s="79">
        <f t="shared" si="4"/>
        <v>653.399576</v>
      </c>
      <c r="Z345" s="80">
        <f t="shared" si="5"/>
        <v>0.1127795457</v>
      </c>
      <c r="AA345" s="81">
        <f t="shared" si="6"/>
        <v>0.2613598304</v>
      </c>
      <c r="AB345" s="79">
        <f t="shared" si="7"/>
        <v>935.166289</v>
      </c>
      <c r="AC345" s="80">
        <f t="shared" si="8"/>
        <v>0.1224331305</v>
      </c>
      <c r="AD345" s="81">
        <f t="shared" si="9"/>
        <v>0.3740665156</v>
      </c>
      <c r="AE345" s="74">
        <f>P345*(1-I345)*(1+'参数表'!$C$6)*(W345+X345+H345)*1.1+0.4*1.1</f>
        <v>11.128172</v>
      </c>
      <c r="AF345" s="74">
        <f t="shared" si="10"/>
        <v>14.2217405</v>
      </c>
      <c r="AG345" s="29"/>
    </row>
    <row r="346">
      <c r="A346" s="51" t="s">
        <v>1131</v>
      </c>
      <c r="B346" s="51" t="s">
        <v>1132</v>
      </c>
      <c r="C346" s="60" t="s">
        <v>1133</v>
      </c>
      <c r="D346" s="42" t="s">
        <v>1106</v>
      </c>
      <c r="E346" s="29"/>
      <c r="F346" s="29"/>
      <c r="G346" s="67" t="s">
        <v>1134</v>
      </c>
      <c r="H346" s="68">
        <v>0.05</v>
      </c>
      <c r="I346" s="68">
        <v>0.0</v>
      </c>
      <c r="J346" s="69">
        <v>1070.0</v>
      </c>
      <c r="K346" s="70">
        <v>120.0</v>
      </c>
      <c r="L346" s="16">
        <v>14.0</v>
      </c>
      <c r="M346" s="16">
        <v>15.0</v>
      </c>
      <c r="N346" s="16">
        <v>2.0</v>
      </c>
      <c r="O346" s="73">
        <f t="shared" si="14"/>
        <v>120</v>
      </c>
      <c r="P346" s="72">
        <v>23.8</v>
      </c>
      <c r="Q346" s="73">
        <f t="array" ref="Q346">XLOOKUP(K346/1000, '运费（邮政）'!$A$2:$A$21, '运费（邮政）'!$B$2:$B$21, "超出范围", 1)</f>
        <v>1060</v>
      </c>
      <c r="R346" s="72">
        <v>9.99</v>
      </c>
      <c r="S346" s="74">
        <f t="shared" si="2"/>
        <v>6.176458873</v>
      </c>
      <c r="T346" s="75">
        <f t="shared" si="3"/>
        <v>33.79</v>
      </c>
      <c r="U346" s="76">
        <f t="array" ref="U346">XLOOKUP(O346/1000, '运费（橙联）'!$A$2:$A$57, '运费（橙联）'!$B$2:$B$57, "超出范围", 1)</f>
        <v>1367</v>
      </c>
      <c r="V346" s="77">
        <f>(P346*'参数表'!$C$2*(1+'参数表'!$C$3))*$B$1+'参数表'!$C$4</f>
        <v>570.05716</v>
      </c>
      <c r="W346" s="86">
        <v>0.153</v>
      </c>
      <c r="X346" s="78">
        <v>0.0135</v>
      </c>
      <c r="Y346" s="79">
        <f t="shared" si="4"/>
        <v>301.783086</v>
      </c>
      <c r="Z346" s="80">
        <f t="shared" si="5"/>
        <v>0.0892955042</v>
      </c>
      <c r="AA346" s="81">
        <f t="shared" si="6"/>
        <v>0.2820402673</v>
      </c>
      <c r="AB346" s="79">
        <f t="shared" si="7"/>
        <v>505.471099</v>
      </c>
      <c r="AC346" s="80">
        <f t="shared" si="8"/>
        <v>0.1053464228</v>
      </c>
      <c r="AD346" s="81">
        <f t="shared" si="9"/>
        <v>0.4724028963</v>
      </c>
      <c r="AE346" s="74">
        <f>P346*(1-I346)*(1+'参数表'!$C$6)*(W346+X346+H346)*1.1+0.4*1.1</f>
        <v>6.674767</v>
      </c>
      <c r="AF346" s="74">
        <f t="shared" si="10"/>
        <v>9.0538855</v>
      </c>
      <c r="AG346" s="29"/>
    </row>
    <row r="347">
      <c r="A347" s="51" t="s">
        <v>1135</v>
      </c>
      <c r="B347" s="66" t="s">
        <v>1136</v>
      </c>
      <c r="C347" s="60" t="s">
        <v>1137</v>
      </c>
      <c r="D347" s="42" t="s">
        <v>1106</v>
      </c>
      <c r="E347" s="29"/>
      <c r="F347" s="29"/>
      <c r="G347" s="67" t="s">
        <v>1138</v>
      </c>
      <c r="H347" s="68">
        <v>0.05</v>
      </c>
      <c r="I347" s="68">
        <v>0.0</v>
      </c>
      <c r="J347" s="69">
        <v>2970.0</v>
      </c>
      <c r="K347" s="70">
        <v>120.0</v>
      </c>
      <c r="L347" s="16">
        <v>14.0</v>
      </c>
      <c r="M347" s="16">
        <v>15.0</v>
      </c>
      <c r="N347" s="16">
        <v>2.0</v>
      </c>
      <c r="O347" s="73">
        <f t="shared" si="14"/>
        <v>120</v>
      </c>
      <c r="P347" s="72">
        <v>47.8</v>
      </c>
      <c r="Q347" s="73">
        <f t="array" ref="Q347">XLOOKUP(K347/1000, '运费（邮政）'!$A$2:$A$21, '运费（邮政）'!$B$2:$B$21, "超出范围", 1)</f>
        <v>1060</v>
      </c>
      <c r="R347" s="72">
        <v>12.99</v>
      </c>
      <c r="S347" s="74">
        <f t="shared" si="2"/>
        <v>8.626858873</v>
      </c>
      <c r="T347" s="75">
        <f t="shared" si="3"/>
        <v>60.79</v>
      </c>
      <c r="U347" s="76">
        <f t="array" ref="U347">XLOOKUP(O347/1000, '运费（橙联）'!$A$2:$A$57, '运费（橙联）'!$B$2:$B$57, "超出范围", 1)</f>
        <v>1367</v>
      </c>
      <c r="V347" s="77">
        <f>(P347*'参数表'!$C$2*(1+'参数表'!$C$3))*$B$1+'参数表'!$C$4</f>
        <v>918.01396</v>
      </c>
      <c r="W347" s="86">
        <v>0.153</v>
      </c>
      <c r="X347" s="78">
        <v>0.0135</v>
      </c>
      <c r="Y347" s="79">
        <f t="shared" si="4"/>
        <v>917.006366</v>
      </c>
      <c r="Z347" s="80">
        <f t="shared" si="5"/>
        <v>0.1351002366</v>
      </c>
      <c r="AA347" s="81">
        <f t="shared" si="6"/>
        <v>0.3087563522</v>
      </c>
      <c r="AB347" s="79">
        <f t="shared" si="7"/>
        <v>1097.285679</v>
      </c>
      <c r="AC347" s="80">
        <f t="shared" si="8"/>
        <v>0.1271157088</v>
      </c>
      <c r="AD347" s="81">
        <f t="shared" si="9"/>
        <v>0.3694564576</v>
      </c>
      <c r="AE347" s="74">
        <f>P347*(1-I347)*(1+'参数表'!$C$6)*(W347+X347+H347)*1.1+0.4*1.1</f>
        <v>12.961927</v>
      </c>
      <c r="AF347" s="74">
        <f t="shared" si="10"/>
        <v>16.0554955</v>
      </c>
      <c r="AG347" s="29"/>
    </row>
    <row r="348">
      <c r="A348" s="51" t="s">
        <v>1139</v>
      </c>
      <c r="B348" s="51" t="s">
        <v>1140</v>
      </c>
      <c r="C348" s="60" t="s">
        <v>1141</v>
      </c>
      <c r="D348" s="42" t="s">
        <v>1106</v>
      </c>
      <c r="E348" s="29"/>
      <c r="F348" s="29"/>
      <c r="G348" s="67" t="s">
        <v>1142</v>
      </c>
      <c r="H348" s="68">
        <v>0.05</v>
      </c>
      <c r="I348" s="68">
        <v>0.0</v>
      </c>
      <c r="J348" s="69">
        <v>7685.0</v>
      </c>
      <c r="K348" s="70">
        <v>180.0</v>
      </c>
      <c r="L348" s="16">
        <v>14.0</v>
      </c>
      <c r="M348" s="16">
        <v>15.0</v>
      </c>
      <c r="N348" s="16">
        <v>2.0</v>
      </c>
      <c r="O348" s="73">
        <f t="shared" si="14"/>
        <v>180</v>
      </c>
      <c r="P348" s="72">
        <v>108.0</v>
      </c>
      <c r="Q348" s="73">
        <f t="array" ref="Q348">XLOOKUP(K348/1000, '运费（邮政）'!$A$2:$A$21, '运费（邮政）'!$B$2:$B$21, "超出范围", 1)</f>
        <v>1060</v>
      </c>
      <c r="R348" s="72">
        <v>21.99</v>
      </c>
      <c r="S348" s="74">
        <f t="shared" si="2"/>
        <v>14.77327887</v>
      </c>
      <c r="T348" s="75">
        <f t="shared" si="3"/>
        <v>129.99</v>
      </c>
      <c r="U348" s="76">
        <f t="array" ref="U348">XLOOKUP(O348/1000, '运费（橙联）'!$A$2:$A$57, '运费（橙联）'!$B$2:$B$57, "超出范围", 1)</f>
        <v>1367</v>
      </c>
      <c r="V348" s="77">
        <f>(P348*'参数表'!$C$2*(1+'参数表'!$C$3))*$B$1+'参数表'!$C$4</f>
        <v>1790.8056</v>
      </c>
      <c r="W348" s="86">
        <v>0.153</v>
      </c>
      <c r="X348" s="78">
        <v>0.0135</v>
      </c>
      <c r="Y348" s="79">
        <f t="shared" si="4"/>
        <v>2511.02476</v>
      </c>
      <c r="Z348" s="80">
        <f t="shared" si="5"/>
        <v>0.1637340089</v>
      </c>
      <c r="AA348" s="81">
        <f t="shared" si="6"/>
        <v>0.3267436252</v>
      </c>
      <c r="AB348" s="79">
        <f t="shared" si="7"/>
        <v>2792.156733</v>
      </c>
      <c r="AC348" s="80">
        <f t="shared" si="8"/>
        <v>0.1512660634</v>
      </c>
      <c r="AD348" s="81">
        <f t="shared" si="9"/>
        <v>0.3633255345</v>
      </c>
      <c r="AE348" s="74">
        <f>P348*(1-I348)*(1+'参数表'!$C$6)*(W348+X348+H348)*1.1+0.4*1.1</f>
        <v>28.73222</v>
      </c>
      <c r="AF348" s="74">
        <f t="shared" si="10"/>
        <v>33.9691385</v>
      </c>
      <c r="AG348" s="29"/>
    </row>
    <row r="349">
      <c r="A349" s="51" t="s">
        <v>1143</v>
      </c>
      <c r="B349" s="29"/>
      <c r="C349" s="60" t="s">
        <v>1144</v>
      </c>
      <c r="D349" s="42" t="s">
        <v>1106</v>
      </c>
      <c r="E349" s="29"/>
      <c r="F349" s="29"/>
      <c r="G349" s="34" t="s">
        <v>1145</v>
      </c>
      <c r="H349" s="68">
        <v>0.05</v>
      </c>
      <c r="I349" s="68">
        <v>0.0</v>
      </c>
      <c r="J349" s="69">
        <v>1263.0</v>
      </c>
      <c r="K349" s="70">
        <v>200.0</v>
      </c>
      <c r="L349" s="16">
        <v>14.0</v>
      </c>
      <c r="M349" s="16">
        <v>15.0</v>
      </c>
      <c r="N349" s="16">
        <v>2.0</v>
      </c>
      <c r="O349" s="73">
        <f t="shared" si="14"/>
        <v>200</v>
      </c>
      <c r="P349" s="72">
        <v>25.8</v>
      </c>
      <c r="Q349" s="73">
        <f t="array" ref="Q349">XLOOKUP(K349/1000, '运费（邮政）'!$A$2:$A$21, '运费（邮政）'!$B$2:$B$21, "超出范围", 1)</f>
        <v>1060</v>
      </c>
      <c r="R349" s="72">
        <v>9.99</v>
      </c>
      <c r="S349" s="74">
        <f t="shared" si="2"/>
        <v>6.380658873</v>
      </c>
      <c r="T349" s="75">
        <f t="shared" si="3"/>
        <v>35.79</v>
      </c>
      <c r="U349" s="76">
        <f t="array" ref="U349">XLOOKUP(O349/1000, '运费（橙联）'!$A$2:$A$57, '运费（橙联）'!$B$2:$B$57, "超出范围", 1)</f>
        <v>1367</v>
      </c>
      <c r="V349" s="77">
        <f>(P349*'参数表'!$C$2*(1+'参数表'!$C$3))*$B$1+'参数表'!$C$4</f>
        <v>599.05356</v>
      </c>
      <c r="W349" s="68">
        <v>0.127</v>
      </c>
      <c r="X349" s="78">
        <v>0.0135</v>
      </c>
      <c r="Y349" s="79">
        <f t="shared" si="4"/>
        <v>433.641882</v>
      </c>
      <c r="Z349" s="80">
        <f t="shared" si="5"/>
        <v>0.118364964</v>
      </c>
      <c r="AA349" s="81">
        <f t="shared" si="6"/>
        <v>0.3433427411</v>
      </c>
      <c r="AB349" s="79">
        <f t="shared" si="7"/>
        <v>648.904883</v>
      </c>
      <c r="AC349" s="80">
        <f t="shared" si="8"/>
        <v>0.1276823889</v>
      </c>
      <c r="AD349" s="81">
        <f t="shared" si="9"/>
        <v>0.5137805883</v>
      </c>
      <c r="AE349" s="74">
        <f>P349*(1-I349)*(1+'参数表'!$C$6)*(W349+X349+H349)*1.1+0.4*1.1</f>
        <v>6.387029</v>
      </c>
      <c r="AF349" s="74">
        <f t="shared" si="10"/>
        <v>8.4804335</v>
      </c>
      <c r="AG349" s="29"/>
    </row>
    <row r="350">
      <c r="A350" s="51" t="s">
        <v>1146</v>
      </c>
      <c r="B350" s="51" t="s">
        <v>1147</v>
      </c>
      <c r="C350" s="60" t="s">
        <v>1148</v>
      </c>
      <c r="D350" s="42" t="s">
        <v>61</v>
      </c>
      <c r="E350" s="29"/>
      <c r="F350" s="29"/>
      <c r="G350" s="67" t="s">
        <v>1149</v>
      </c>
      <c r="H350" s="68">
        <v>0.05</v>
      </c>
      <c r="I350" s="68">
        <v>0.0</v>
      </c>
      <c r="J350" s="69">
        <v>32000.0</v>
      </c>
      <c r="K350" s="70">
        <v>2800.0</v>
      </c>
      <c r="L350" s="82">
        <v>35.0</v>
      </c>
      <c r="M350" s="82">
        <v>28.0</v>
      </c>
      <c r="N350" s="82">
        <v>23.0</v>
      </c>
      <c r="O350" s="73">
        <f t="shared" si="14"/>
        <v>2817.5</v>
      </c>
      <c r="P350" s="72">
        <v>329.0</v>
      </c>
      <c r="Q350" s="73" t="str">
        <f t="array" ref="Q350">XLOOKUP(K350/1000, '运费（邮政）'!$A$2:$A$21, '运费（邮政）'!$B$2:$B$21, "超出范围", 1)</f>
        <v>超出范围</v>
      </c>
      <c r="R350" s="72">
        <v>120.0</v>
      </c>
      <c r="S350" s="74" t="str">
        <f t="shared" si="2"/>
        <v>#VALUE!</v>
      </c>
      <c r="T350" s="75">
        <f t="shared" si="3"/>
        <v>449</v>
      </c>
      <c r="U350" s="76">
        <f t="array" ref="U350">XLOOKUP(O350/1000, '运费（橙联）'!$A$2:$A$57, '运费（橙联）'!$B$2:$B$57, "超出范围", 1)</f>
        <v>4956</v>
      </c>
      <c r="V350" s="77">
        <f>(P350*'参数表'!$C$2*(1+'参数表'!$C$3))*$B$1+'参数表'!$C$4</f>
        <v>4994.9078</v>
      </c>
      <c r="W350" s="68">
        <v>0.127</v>
      </c>
      <c r="X350" s="78">
        <v>0.0135</v>
      </c>
      <c r="Y350" s="79" t="str">
        <f t="shared" si="4"/>
        <v>#VALUE!</v>
      </c>
      <c r="Z350" s="80" t="str">
        <f t="shared" si="5"/>
        <v>#VALUE!</v>
      </c>
      <c r="AA350" s="81" t="str">
        <f t="shared" si="6"/>
        <v>#VALUE!</v>
      </c>
      <c r="AB350" s="79">
        <f t="shared" si="7"/>
        <v>7405.14761</v>
      </c>
      <c r="AC350" s="80">
        <f t="shared" si="8"/>
        <v>0.1161446032</v>
      </c>
      <c r="AD350" s="81">
        <f t="shared" si="9"/>
        <v>0.2314108628</v>
      </c>
      <c r="AE350" s="74">
        <f>P350*(1-I350)*(1+'参数表'!$C$6)*(W350+X350+H350)*1.1+0.4*1.1</f>
        <v>76.276145</v>
      </c>
      <c r="AF350" s="74">
        <f t="shared" si="10"/>
        <v>101.422145</v>
      </c>
      <c r="AG350" s="29"/>
    </row>
    <row r="351">
      <c r="A351" s="51" t="s">
        <v>1150</v>
      </c>
      <c r="B351" s="51" t="s">
        <v>1151</v>
      </c>
      <c r="C351" s="60" t="s">
        <v>1152</v>
      </c>
      <c r="D351" s="42" t="s">
        <v>61</v>
      </c>
      <c r="E351" s="29"/>
      <c r="F351" s="29"/>
      <c r="G351" s="67" t="s">
        <v>1153</v>
      </c>
      <c r="H351" s="68">
        <v>0.05</v>
      </c>
      <c r="I351" s="68">
        <v>0.0</v>
      </c>
      <c r="J351" s="69">
        <v>19000.0</v>
      </c>
      <c r="K351" s="70">
        <v>2550.0</v>
      </c>
      <c r="L351" s="82">
        <v>40.0</v>
      </c>
      <c r="M351" s="82">
        <v>32.0</v>
      </c>
      <c r="N351" s="82">
        <v>14.0</v>
      </c>
      <c r="O351" s="73">
        <f t="shared" si="14"/>
        <v>2550</v>
      </c>
      <c r="P351" s="72">
        <v>198.0</v>
      </c>
      <c r="Q351" s="73" t="str">
        <f t="array" ref="Q351">XLOOKUP(K351/1000, '运费（邮政）'!$A$2:$A$21, '运费（邮政）'!$B$2:$B$21, "超出范围", 1)</f>
        <v>超出范围</v>
      </c>
      <c r="R351" s="89"/>
      <c r="S351" s="74" t="str">
        <f t="shared" si="2"/>
        <v>#VALUE!</v>
      </c>
      <c r="T351" s="75">
        <f t="shared" si="3"/>
        <v>198</v>
      </c>
      <c r="U351" s="76">
        <f t="array" ref="U351">XLOOKUP(O351/1000, '运费（橙联）'!$A$2:$A$57, '运费（橙联）'!$B$2:$B$57, "超出范围", 1)</f>
        <v>4956</v>
      </c>
      <c r="V351" s="77">
        <f>(P351*'参数表'!$C$2*(1+'参数表'!$C$3))*$B$1+'参数表'!$C$4</f>
        <v>3095.6436</v>
      </c>
      <c r="W351" s="68">
        <v>0.127</v>
      </c>
      <c r="X351" s="78">
        <v>0.0135</v>
      </c>
      <c r="Y351" s="79" t="str">
        <f t="shared" si="4"/>
        <v>#VALUE!</v>
      </c>
      <c r="Z351" s="80" t="str">
        <f t="shared" si="5"/>
        <v>#VALUE!</v>
      </c>
      <c r="AA351" s="81" t="str">
        <f t="shared" si="6"/>
        <v>#VALUE!</v>
      </c>
      <c r="AB351" s="79">
        <f t="shared" si="7"/>
        <v>-5479.00218</v>
      </c>
      <c r="AC351" s="80">
        <f t="shared" si="8"/>
        <v>-0.1948713252</v>
      </c>
      <c r="AD351" s="81">
        <f t="shared" si="9"/>
        <v>-0.2883685358</v>
      </c>
      <c r="AE351" s="74">
        <f>P351*(1-I351)*(1+'参数表'!$C$6)*(W351+X351+H351)*1.1+0.4*1.1</f>
        <v>46.07999</v>
      </c>
      <c r="AF351" s="74">
        <f t="shared" si="10"/>
        <v>46.07999</v>
      </c>
      <c r="AG351" s="29"/>
    </row>
    <row r="352">
      <c r="A352" s="66" t="s">
        <v>1154</v>
      </c>
      <c r="B352" s="29"/>
      <c r="C352" s="60" t="s">
        <v>1155</v>
      </c>
      <c r="D352" s="42" t="s">
        <v>61</v>
      </c>
      <c r="E352" s="42" t="s">
        <v>367</v>
      </c>
      <c r="F352" s="29"/>
      <c r="G352" s="90" t="s">
        <v>1156</v>
      </c>
      <c r="H352" s="68">
        <v>0.05</v>
      </c>
      <c r="I352" s="68">
        <v>0.0</v>
      </c>
      <c r="J352" s="69">
        <v>1673.0</v>
      </c>
      <c r="K352" s="70">
        <v>120.0</v>
      </c>
      <c r="L352" s="16">
        <v>19.0</v>
      </c>
      <c r="M352" s="16">
        <v>14.0</v>
      </c>
      <c r="N352" s="16">
        <v>3.0</v>
      </c>
      <c r="O352" s="73">
        <f t="shared" si="14"/>
        <v>120</v>
      </c>
      <c r="P352" s="72">
        <v>29.8</v>
      </c>
      <c r="Q352" s="73">
        <f t="array" ref="Q352">XLOOKUP(K352/1000, '运费（邮政）'!$A$2:$A$21, '运费（邮政）'!$B$2:$B$21, "超出范围", 1)</f>
        <v>1060</v>
      </c>
      <c r="R352" s="72">
        <v>9.99</v>
      </c>
      <c r="S352" s="74">
        <f t="shared" si="2"/>
        <v>6.789058873</v>
      </c>
      <c r="T352" s="75">
        <f t="shared" si="3"/>
        <v>39.79</v>
      </c>
      <c r="U352" s="76">
        <f t="array" ref="U352">XLOOKUP(O352/1000, '运费（橙联）'!$A$2:$A$57, '运费（橙联）'!$B$2:$B$57, "超出范围", 1)</f>
        <v>1367</v>
      </c>
      <c r="V352" s="77">
        <f>(P352*'参数表'!$C$2*(1+'参数表'!$C$3))*$B$1+'参数表'!$C$4</f>
        <v>657.04636</v>
      </c>
      <c r="W352" s="68">
        <v>0.127</v>
      </c>
      <c r="X352" s="78">
        <v>0.0135</v>
      </c>
      <c r="Y352" s="79">
        <f t="shared" si="4"/>
        <v>460.715042</v>
      </c>
      <c r="Z352" s="80">
        <f t="shared" si="5"/>
        <v>0.1088749036</v>
      </c>
      <c r="AA352" s="81">
        <f t="shared" si="6"/>
        <v>0.2753825714</v>
      </c>
      <c r="AB352" s="79">
        <f t="shared" si="7"/>
        <v>617.985243</v>
      </c>
      <c r="AC352" s="80">
        <f t="shared" si="8"/>
        <v>0.1093744346</v>
      </c>
      <c r="AD352" s="81">
        <f t="shared" si="9"/>
        <v>0.3693874734</v>
      </c>
      <c r="AE352" s="74">
        <f>P352*(1-I352)*(1+'参数表'!$C$6)*(W352+X352+H352)*1.1+0.4*1.1</f>
        <v>7.309049</v>
      </c>
      <c r="AF352" s="74">
        <f t="shared" si="10"/>
        <v>9.4024535</v>
      </c>
      <c r="AG352" s="29"/>
    </row>
    <row r="353">
      <c r="A353" s="51" t="s">
        <v>1157</v>
      </c>
      <c r="B353" s="29"/>
      <c r="C353" s="60" t="s">
        <v>1158</v>
      </c>
      <c r="D353" s="42" t="s">
        <v>61</v>
      </c>
      <c r="E353" s="42" t="s">
        <v>594</v>
      </c>
      <c r="F353" s="29"/>
      <c r="G353" s="67"/>
      <c r="H353" s="68">
        <v>0.05</v>
      </c>
      <c r="I353" s="68">
        <v>0.0</v>
      </c>
      <c r="J353" s="69">
        <v>2388.0</v>
      </c>
      <c r="K353" s="70">
        <v>120.0</v>
      </c>
      <c r="L353" s="16">
        <v>19.0</v>
      </c>
      <c r="M353" s="16">
        <v>14.0</v>
      </c>
      <c r="N353" s="16">
        <v>3.0</v>
      </c>
      <c r="O353" s="73">
        <f t="shared" si="14"/>
        <v>120</v>
      </c>
      <c r="P353" s="72">
        <v>38.8</v>
      </c>
      <c r="Q353" s="73">
        <f t="array" ref="Q353">XLOOKUP(K353/1000, '运费（邮政）'!$A$2:$A$21, '运费（邮政）'!$B$2:$B$21, "超出范围", 1)</f>
        <v>1060</v>
      </c>
      <c r="R353" s="72">
        <v>9.99</v>
      </c>
      <c r="S353" s="74">
        <f t="shared" si="2"/>
        <v>7.707958873</v>
      </c>
      <c r="T353" s="75">
        <f t="shared" si="3"/>
        <v>48.79</v>
      </c>
      <c r="U353" s="76">
        <f t="array" ref="U353">XLOOKUP(O353/1000, '运费（橙联）'!$A$2:$A$57, '运费（橙联）'!$B$2:$B$57, "超出范围", 1)</f>
        <v>1367</v>
      </c>
      <c r="V353" s="77">
        <f>(P353*'参数表'!$C$2*(1+'参数表'!$C$3))*$B$1+'参数表'!$C$4</f>
        <v>787.53016</v>
      </c>
      <c r="W353" s="68">
        <v>0.127</v>
      </c>
      <c r="X353" s="78">
        <v>0.0135</v>
      </c>
      <c r="Y353" s="79">
        <f t="shared" si="4"/>
        <v>729.129652</v>
      </c>
      <c r="Z353" s="80">
        <f t="shared" si="5"/>
        <v>0.1323380376</v>
      </c>
      <c r="AA353" s="81">
        <f t="shared" si="6"/>
        <v>0.305330675</v>
      </c>
      <c r="AB353" s="79">
        <f t="shared" si="7"/>
        <v>755.916053</v>
      </c>
      <c r="AC353" s="80">
        <f t="shared" si="8"/>
        <v>0.10910745</v>
      </c>
      <c r="AD353" s="81">
        <f t="shared" si="9"/>
        <v>0.3165477609</v>
      </c>
      <c r="AE353" s="74">
        <f>P353*(1-I353)*(1+'参数表'!$C$6)*(W353+X353+H353)*1.1+0.4*1.1</f>
        <v>9.383594</v>
      </c>
      <c r="AF353" s="74">
        <f t="shared" si="10"/>
        <v>11.4769985</v>
      </c>
      <c r="AG353" s="29"/>
    </row>
    <row r="354">
      <c r="A354" s="51" t="s">
        <v>1159</v>
      </c>
      <c r="B354" s="29"/>
      <c r="C354" s="60" t="s">
        <v>1160</v>
      </c>
      <c r="D354" s="42" t="s">
        <v>61</v>
      </c>
      <c r="E354" s="42" t="s">
        <v>591</v>
      </c>
      <c r="F354" s="29"/>
      <c r="G354" s="57" t="s">
        <v>1161</v>
      </c>
      <c r="H354" s="68">
        <v>0.05</v>
      </c>
      <c r="I354" s="68">
        <v>0.0</v>
      </c>
      <c r="J354" s="69">
        <v>2179.0</v>
      </c>
      <c r="K354" s="70">
        <v>120.0</v>
      </c>
      <c r="L354" s="16">
        <v>19.0</v>
      </c>
      <c r="M354" s="16">
        <v>14.0</v>
      </c>
      <c r="N354" s="16">
        <v>3.0</v>
      </c>
      <c r="O354" s="73">
        <f t="shared" si="14"/>
        <v>120</v>
      </c>
      <c r="P354" s="72">
        <v>36.8</v>
      </c>
      <c r="Q354" s="73">
        <f t="array" ref="Q354">XLOOKUP(K354/1000, '运费（邮政）'!$A$2:$A$21, '运费（邮政）'!$B$2:$B$21, "超出范围", 1)</f>
        <v>1060</v>
      </c>
      <c r="R354" s="72">
        <v>9.99</v>
      </c>
      <c r="S354" s="74">
        <f t="shared" si="2"/>
        <v>7.503758873</v>
      </c>
      <c r="T354" s="75">
        <f t="shared" si="3"/>
        <v>46.79</v>
      </c>
      <c r="U354" s="76">
        <f t="array" ref="U354">XLOOKUP(O354/1000, '运费（橙联）'!$A$2:$A$57, '运费（橙联）'!$B$2:$B$57, "超出范围", 1)</f>
        <v>1367</v>
      </c>
      <c r="V354" s="77">
        <f>(P354*'参数表'!$C$2*(1+'参数表'!$C$3))*$B$1+'参数表'!$C$4</f>
        <v>758.53376</v>
      </c>
      <c r="W354" s="68">
        <v>0.127</v>
      </c>
      <c r="X354" s="78">
        <v>0.0135</v>
      </c>
      <c r="Y354" s="79">
        <f t="shared" si="4"/>
        <v>719.593072</v>
      </c>
      <c r="Z354" s="80">
        <f t="shared" si="5"/>
        <v>0.1377053491</v>
      </c>
      <c r="AA354" s="81">
        <f t="shared" si="6"/>
        <v>0.3302400514</v>
      </c>
      <c r="AB354" s="79">
        <f t="shared" si="7"/>
        <v>775.375873</v>
      </c>
      <c r="AC354" s="80">
        <f t="shared" si="8"/>
        <v>0.1167000101</v>
      </c>
      <c r="AD354" s="81">
        <f t="shared" si="9"/>
        <v>0.3558402354</v>
      </c>
      <c r="AE354" s="74">
        <f>P354*(1-I354)*(1+'参数表'!$C$6)*(W354+X354+H354)*1.1+0.4*1.1</f>
        <v>8.922584</v>
      </c>
      <c r="AF354" s="74">
        <f t="shared" si="10"/>
        <v>11.0159885</v>
      </c>
      <c r="AG354" s="29"/>
    </row>
    <row r="355">
      <c r="A355" s="51" t="s">
        <v>1162</v>
      </c>
      <c r="B355" s="29"/>
      <c r="C355" s="60" t="s">
        <v>1163</v>
      </c>
      <c r="D355" s="42" t="s">
        <v>61</v>
      </c>
      <c r="E355" s="42" t="s">
        <v>603</v>
      </c>
      <c r="F355" s="29"/>
      <c r="G355" s="67" t="s">
        <v>1164</v>
      </c>
      <c r="H355" s="68">
        <v>0.05</v>
      </c>
      <c r="I355" s="68">
        <v>0.0</v>
      </c>
      <c r="J355" s="69">
        <v>1200.0</v>
      </c>
      <c r="K355" s="70">
        <v>120.0</v>
      </c>
      <c r="L355" s="16">
        <v>19.0</v>
      </c>
      <c r="M355" s="16">
        <v>14.0</v>
      </c>
      <c r="N355" s="16">
        <v>3.0</v>
      </c>
      <c r="O355" s="73">
        <f t="shared" si="14"/>
        <v>120</v>
      </c>
      <c r="P355" s="72">
        <v>24.8</v>
      </c>
      <c r="Q355" s="73">
        <f t="array" ref="Q355">XLOOKUP(K355/1000, '运费（邮政）'!$A$2:$A$21, '运费（邮政）'!$B$2:$B$21, "超出范围", 1)</f>
        <v>1060</v>
      </c>
      <c r="R355" s="72">
        <v>9.99</v>
      </c>
      <c r="S355" s="74">
        <f t="shared" si="2"/>
        <v>6.278558873</v>
      </c>
      <c r="T355" s="75">
        <f t="shared" si="3"/>
        <v>34.79</v>
      </c>
      <c r="U355" s="76">
        <f t="array" ref="U355">XLOOKUP(O355/1000, '运费（橙联）'!$A$2:$A$57, '运费（橙联）'!$B$2:$B$57, "超出范围", 1)</f>
        <v>1367</v>
      </c>
      <c r="V355" s="77">
        <f>(P355*'参数表'!$C$2*(1+'参数表'!$C$3))*$B$1+'参数表'!$C$4</f>
        <v>584.55536</v>
      </c>
      <c r="W355" s="68">
        <v>0.127</v>
      </c>
      <c r="X355" s="78">
        <v>0.0135</v>
      </c>
      <c r="Y355" s="79">
        <f t="shared" si="4"/>
        <v>387.373592</v>
      </c>
      <c r="Z355" s="80">
        <f t="shared" si="5"/>
        <v>0.1099993162</v>
      </c>
      <c r="AA355" s="81">
        <f t="shared" si="6"/>
        <v>0.3228113267</v>
      </c>
      <c r="AB355" s="79">
        <f t="shared" si="7"/>
        <v>617.134793</v>
      </c>
      <c r="AC355" s="80">
        <f t="shared" si="8"/>
        <v>0.1249215197</v>
      </c>
      <c r="AD355" s="81">
        <f t="shared" si="9"/>
        <v>0.5142789942</v>
      </c>
      <c r="AE355" s="74">
        <f>P355*(1-I355)*(1+'参数表'!$C$6)*(W355+X355+H355)*1.1+0.4*1.1</f>
        <v>6.156524</v>
      </c>
      <c r="AF355" s="74">
        <f t="shared" si="10"/>
        <v>8.2499285</v>
      </c>
      <c r="AG355" s="29"/>
    </row>
    <row r="356">
      <c r="A356" s="51" t="s">
        <v>1165</v>
      </c>
      <c r="B356" s="29"/>
      <c r="C356" s="60" t="s">
        <v>1166</v>
      </c>
      <c r="D356" s="42" t="s">
        <v>61</v>
      </c>
      <c r="E356" s="42" t="s">
        <v>591</v>
      </c>
      <c r="F356" s="29"/>
      <c r="G356" s="67" t="s">
        <v>1167</v>
      </c>
      <c r="H356" s="68">
        <v>0.05</v>
      </c>
      <c r="I356" s="68">
        <v>0.0</v>
      </c>
      <c r="J356" s="69">
        <v>3150.0</v>
      </c>
      <c r="K356" s="70">
        <v>120.0</v>
      </c>
      <c r="L356" s="16">
        <v>19.0</v>
      </c>
      <c r="M356" s="16">
        <v>14.0</v>
      </c>
      <c r="N356" s="16">
        <v>3.0</v>
      </c>
      <c r="O356" s="73">
        <f t="shared" si="14"/>
        <v>120</v>
      </c>
      <c r="P356" s="72">
        <v>49.8</v>
      </c>
      <c r="Q356" s="73">
        <f t="array" ref="Q356">XLOOKUP(K356/1000, '运费（邮政）'!$A$2:$A$21, '运费（邮政）'!$B$2:$B$21, "超出范围", 1)</f>
        <v>1060</v>
      </c>
      <c r="R356" s="72">
        <v>12.99</v>
      </c>
      <c r="S356" s="74">
        <f t="shared" si="2"/>
        <v>8.831058873</v>
      </c>
      <c r="T356" s="75">
        <f t="shared" si="3"/>
        <v>62.79</v>
      </c>
      <c r="U356" s="76">
        <f t="array" ref="U356">XLOOKUP(O356/1000, '运费（橙联）'!$A$2:$A$57, '运费（橙联）'!$B$2:$B$57, "超出范围", 1)</f>
        <v>1367</v>
      </c>
      <c r="V356" s="77">
        <f>(P356*'参数表'!$C$2*(1+'参数表'!$C$3))*$B$1+'参数表'!$C$4</f>
        <v>947.01036</v>
      </c>
      <c r="W356" s="68">
        <v>0.127</v>
      </c>
      <c r="X356" s="78">
        <v>0.0135</v>
      </c>
      <c r="Y356" s="79">
        <f t="shared" si="4"/>
        <v>1169.080842</v>
      </c>
      <c r="Z356" s="80">
        <f t="shared" si="5"/>
        <v>0.1653205557</v>
      </c>
      <c r="AA356" s="81">
        <f t="shared" si="6"/>
        <v>0.3711367752</v>
      </c>
      <c r="AB356" s="79">
        <f t="shared" si="7"/>
        <v>1373.118743</v>
      </c>
      <c r="AC356" s="80">
        <f t="shared" si="8"/>
        <v>0.1540030308</v>
      </c>
      <c r="AD356" s="81">
        <f t="shared" si="9"/>
        <v>0.4359107121</v>
      </c>
      <c r="AE356" s="74">
        <f>P356*(1-I356)*(1+'参数表'!$C$6)*(W356+X356+H356)*1.1+0.4*1.1</f>
        <v>11.919149</v>
      </c>
      <c r="AF356" s="74">
        <f t="shared" si="10"/>
        <v>14.6412035</v>
      </c>
      <c r="AG356" s="29"/>
    </row>
    <row r="357">
      <c r="A357" s="51" t="s">
        <v>1168</v>
      </c>
      <c r="B357" s="29"/>
      <c r="C357" s="60" t="s">
        <v>1169</v>
      </c>
      <c r="D357" s="42" t="s">
        <v>1106</v>
      </c>
      <c r="E357" s="42" t="s">
        <v>591</v>
      </c>
      <c r="F357" s="29"/>
      <c r="G357" s="67" t="s">
        <v>1170</v>
      </c>
      <c r="H357" s="68">
        <v>0.05</v>
      </c>
      <c r="I357" s="68">
        <v>0.0</v>
      </c>
      <c r="J357" s="69">
        <v>1609.0</v>
      </c>
      <c r="K357" s="70">
        <v>120.0</v>
      </c>
      <c r="L357" s="16">
        <v>19.0</v>
      </c>
      <c r="M357" s="16">
        <v>14.0</v>
      </c>
      <c r="N357" s="16">
        <v>3.0</v>
      </c>
      <c r="O357" s="73">
        <f t="shared" si="14"/>
        <v>120</v>
      </c>
      <c r="P357" s="72">
        <v>29.8</v>
      </c>
      <c r="Q357" s="73">
        <f t="array" ref="Q357">XLOOKUP(K357/1000, '运费（邮政）'!$A$2:$A$21, '运费（邮政）'!$B$2:$B$21, "超出范围", 1)</f>
        <v>1060</v>
      </c>
      <c r="R357" s="72">
        <v>9.99</v>
      </c>
      <c r="S357" s="74">
        <f t="shared" si="2"/>
        <v>6.789058873</v>
      </c>
      <c r="T357" s="75">
        <f t="shared" si="3"/>
        <v>39.79</v>
      </c>
      <c r="U357" s="76">
        <f t="array" ref="U357">XLOOKUP(O357/1000, '运费（橙联）'!$A$2:$A$57, '运费（橙联）'!$B$2:$B$57, "超出范围", 1)</f>
        <v>1367</v>
      </c>
      <c r="V357" s="77">
        <f>(P357*'参数表'!$C$2*(1+'参数表'!$C$3))*$B$1+'参数表'!$C$4</f>
        <v>657.04636</v>
      </c>
      <c r="W357" s="68">
        <v>0.127</v>
      </c>
      <c r="X357" s="78">
        <v>0.0135</v>
      </c>
      <c r="Y357" s="79">
        <f t="shared" si="4"/>
        <v>524.715042</v>
      </c>
      <c r="Z357" s="80">
        <f t="shared" si="5"/>
        <v>0.1239992064</v>
      </c>
      <c r="AA357" s="81">
        <f t="shared" si="6"/>
        <v>0.3261125183</v>
      </c>
      <c r="AB357" s="79">
        <f t="shared" si="7"/>
        <v>681.985243</v>
      </c>
      <c r="AC357" s="80">
        <f t="shared" si="8"/>
        <v>0.1207015074</v>
      </c>
      <c r="AD357" s="81">
        <f t="shared" si="9"/>
        <v>0.4238565836</v>
      </c>
      <c r="AE357" s="74">
        <f>P357*(1-I357)*(1+'参数表'!$C$6)*(W357+X357+H357)*1.1+0.4*1.1</f>
        <v>7.309049</v>
      </c>
      <c r="AF357" s="74">
        <f t="shared" si="10"/>
        <v>9.4024535</v>
      </c>
      <c r="AG357" s="29"/>
    </row>
    <row r="358">
      <c r="A358" s="51" t="s">
        <v>1171</v>
      </c>
      <c r="B358" s="29"/>
      <c r="C358" s="60" t="s">
        <v>1172</v>
      </c>
      <c r="D358" s="42" t="s">
        <v>1106</v>
      </c>
      <c r="E358" s="29"/>
      <c r="F358" s="29"/>
      <c r="G358" s="67" t="s">
        <v>1173</v>
      </c>
      <c r="H358" s="68">
        <v>0.05</v>
      </c>
      <c r="I358" s="68">
        <v>0.0</v>
      </c>
      <c r="J358" s="69">
        <v>1255.0</v>
      </c>
      <c r="K358" s="70">
        <v>120.0</v>
      </c>
      <c r="L358" s="16">
        <v>19.0</v>
      </c>
      <c r="M358" s="16">
        <v>14.0</v>
      </c>
      <c r="N358" s="16">
        <v>3.0</v>
      </c>
      <c r="O358" s="73">
        <f t="shared" si="14"/>
        <v>120</v>
      </c>
      <c r="P358" s="72">
        <v>25.2</v>
      </c>
      <c r="Q358" s="73">
        <f t="array" ref="Q358">XLOOKUP(K358/1000, '运费（邮政）'!$A$2:$A$21, '运费（邮政）'!$B$2:$B$21, "超出范围", 1)</f>
        <v>1060</v>
      </c>
      <c r="R358" s="72">
        <v>9.99</v>
      </c>
      <c r="S358" s="74">
        <f t="shared" si="2"/>
        <v>6.319398873</v>
      </c>
      <c r="T358" s="75">
        <f t="shared" si="3"/>
        <v>35.19</v>
      </c>
      <c r="U358" s="76">
        <f t="array" ref="U358">XLOOKUP(O358/1000, '运费（橙联）'!$A$2:$A$57, '运费（橙联）'!$B$2:$B$57, "超出范围", 1)</f>
        <v>1367</v>
      </c>
      <c r="V358" s="77">
        <f>(P358*'参数表'!$C$2*(1+'参数表'!$C$3))*$B$1+'参数表'!$C$4</f>
        <v>590.35464</v>
      </c>
      <c r="W358" s="68">
        <v>0.127</v>
      </c>
      <c r="X358" s="78">
        <v>0.0135</v>
      </c>
      <c r="Y358" s="79">
        <f t="shared" si="4"/>
        <v>376.080908</v>
      </c>
      <c r="Z358" s="80">
        <f t="shared" si="5"/>
        <v>0.1050975039</v>
      </c>
      <c r="AA358" s="81">
        <f t="shared" si="6"/>
        <v>0.2996660622</v>
      </c>
      <c r="AB358" s="79">
        <f t="shared" si="7"/>
        <v>600.042829</v>
      </c>
      <c r="AC358" s="80">
        <f t="shared" si="8"/>
        <v>0.1200810948</v>
      </c>
      <c r="AD358" s="81">
        <f t="shared" si="9"/>
        <v>0.4781217761</v>
      </c>
      <c r="AE358" s="74">
        <f>P358*(1-I358)*(1+'参数表'!$C$6)*(W358+X358+H358)*1.1+0.4*1.1</f>
        <v>6.248726</v>
      </c>
      <c r="AF358" s="74">
        <f t="shared" si="10"/>
        <v>8.3421305</v>
      </c>
      <c r="AG358" s="29"/>
    </row>
    <row r="359">
      <c r="A359" s="51" t="s">
        <v>1174</v>
      </c>
      <c r="B359" s="29"/>
      <c r="C359" s="60" t="s">
        <v>1175</v>
      </c>
      <c r="D359" s="42" t="s">
        <v>1106</v>
      </c>
      <c r="E359" s="42" t="s">
        <v>594</v>
      </c>
      <c r="F359" s="29"/>
      <c r="G359" s="67" t="s">
        <v>1176</v>
      </c>
      <c r="H359" s="68">
        <v>0.05</v>
      </c>
      <c r="I359" s="68">
        <v>0.0</v>
      </c>
      <c r="J359" s="69">
        <v>3333.0</v>
      </c>
      <c r="K359" s="70">
        <v>120.0</v>
      </c>
      <c r="L359" s="16">
        <v>19.0</v>
      </c>
      <c r="M359" s="16">
        <v>14.0</v>
      </c>
      <c r="N359" s="16">
        <v>3.0</v>
      </c>
      <c r="O359" s="73">
        <f t="shared" si="14"/>
        <v>120</v>
      </c>
      <c r="P359" s="72">
        <v>52.8</v>
      </c>
      <c r="Q359" s="73">
        <f t="array" ref="Q359">XLOOKUP(K359/1000, '运费（邮政）'!$A$2:$A$21, '运费（邮政）'!$B$2:$B$21, "超出范围", 1)</f>
        <v>1060</v>
      </c>
      <c r="R359" s="72">
        <v>12.99</v>
      </c>
      <c r="S359" s="74">
        <f t="shared" si="2"/>
        <v>9.137358873</v>
      </c>
      <c r="T359" s="75">
        <f t="shared" si="3"/>
        <v>65.79</v>
      </c>
      <c r="U359" s="76">
        <f t="array" ref="U359">XLOOKUP(O359/1000, '运费（橙联）'!$A$2:$A$57, '运费（橙联）'!$B$2:$B$57, "超出范围", 1)</f>
        <v>1367</v>
      </c>
      <c r="V359" s="77">
        <f>(P359*'参数表'!$C$2*(1+'参数表'!$C$3))*$B$1+'参数表'!$C$4</f>
        <v>990.50496</v>
      </c>
      <c r="W359" s="68">
        <v>0.127</v>
      </c>
      <c r="X359" s="78">
        <v>0.0135</v>
      </c>
      <c r="Y359" s="79">
        <f t="shared" si="4"/>
        <v>1313.885712</v>
      </c>
      <c r="Z359" s="80">
        <f t="shared" si="5"/>
        <v>0.1752408387</v>
      </c>
      <c r="AA359" s="81">
        <f t="shared" si="6"/>
        <v>0.3942051341</v>
      </c>
      <c r="AB359" s="79">
        <f t="shared" si="7"/>
        <v>1474.429013</v>
      </c>
      <c r="AC359" s="80">
        <f t="shared" si="8"/>
        <v>0.1578249416</v>
      </c>
      <c r="AD359" s="81">
        <f t="shared" si="9"/>
        <v>0.4423729412</v>
      </c>
      <c r="AE359" s="74">
        <f>P359*(1-I359)*(1+'参数表'!$C$6)*(W359+X359+H359)*1.1+0.4*1.1</f>
        <v>12.610664</v>
      </c>
      <c r="AF359" s="74">
        <f t="shared" si="10"/>
        <v>15.3327185</v>
      </c>
      <c r="AG359" s="29"/>
    </row>
    <row r="360">
      <c r="A360" s="51" t="s">
        <v>1177</v>
      </c>
      <c r="B360" s="29"/>
      <c r="C360" s="60" t="s">
        <v>1178</v>
      </c>
      <c r="D360" s="42" t="s">
        <v>61</v>
      </c>
      <c r="E360" s="42" t="s">
        <v>594</v>
      </c>
      <c r="F360" s="29"/>
      <c r="G360" s="67" t="s">
        <v>1179</v>
      </c>
      <c r="H360" s="68">
        <v>0.05</v>
      </c>
      <c r="I360" s="68">
        <v>0.0</v>
      </c>
      <c r="J360" s="69">
        <v>4230.0</v>
      </c>
      <c r="K360" s="70">
        <v>120.0</v>
      </c>
      <c r="L360" s="16">
        <v>19.0</v>
      </c>
      <c r="M360" s="16">
        <v>14.0</v>
      </c>
      <c r="N360" s="16">
        <v>3.0</v>
      </c>
      <c r="O360" s="73">
        <f t="shared" si="14"/>
        <v>120</v>
      </c>
      <c r="P360" s="72">
        <v>62.8</v>
      </c>
      <c r="Q360" s="73">
        <f t="array" ref="Q360">XLOOKUP(K360/1000, '运费（邮政）'!$A$2:$A$21, '运费（邮政）'!$B$2:$B$21, "超出范围", 1)</f>
        <v>1060</v>
      </c>
      <c r="R360" s="72">
        <v>12.99</v>
      </c>
      <c r="S360" s="74">
        <f t="shared" si="2"/>
        <v>10.15835887</v>
      </c>
      <c r="T360" s="75">
        <f t="shared" si="3"/>
        <v>75.79</v>
      </c>
      <c r="U360" s="76">
        <f t="array" ref="U360">XLOOKUP(O360/1000, '运费（橙联）'!$A$2:$A$57, '运费（橙联）'!$B$2:$B$57, "超出范围", 1)</f>
        <v>1367</v>
      </c>
      <c r="V360" s="77">
        <f>(P360*'参数表'!$C$2*(1+'参数表'!$C$3))*$B$1+'参数表'!$C$4</f>
        <v>1135.48696</v>
      </c>
      <c r="W360" s="68">
        <v>0.127</v>
      </c>
      <c r="X360" s="78">
        <v>0.0135</v>
      </c>
      <c r="Y360" s="79">
        <f t="shared" si="4"/>
        <v>1509.568612</v>
      </c>
      <c r="Z360" s="80">
        <f t="shared" si="5"/>
        <v>0.1692796954</v>
      </c>
      <c r="AA360" s="81">
        <f t="shared" si="6"/>
        <v>0.3568720123</v>
      </c>
      <c r="AB360" s="79">
        <f t="shared" si="7"/>
        <v>1525.129913</v>
      </c>
      <c r="AC360" s="80">
        <f t="shared" si="8"/>
        <v>0.1417119871</v>
      </c>
      <c r="AD360" s="81">
        <f t="shared" si="9"/>
        <v>0.3605508069</v>
      </c>
      <c r="AE360" s="74">
        <f>P360*(1-I360)*(1+'参数表'!$C$6)*(W360+X360+H360)*1.1+0.4*1.1</f>
        <v>14.915714</v>
      </c>
      <c r="AF360" s="74">
        <f t="shared" si="10"/>
        <v>17.6377685</v>
      </c>
      <c r="AG360" s="29"/>
    </row>
    <row r="361">
      <c r="A361" s="51" t="s">
        <v>1180</v>
      </c>
      <c r="B361" s="29"/>
      <c r="C361" s="60" t="s">
        <v>1181</v>
      </c>
      <c r="D361" s="42" t="s">
        <v>61</v>
      </c>
      <c r="E361" s="42" t="s">
        <v>594</v>
      </c>
      <c r="F361" s="29"/>
      <c r="G361" s="57" t="s">
        <v>1182</v>
      </c>
      <c r="H361" s="68">
        <v>0.05</v>
      </c>
      <c r="I361" s="68">
        <v>0.0</v>
      </c>
      <c r="J361" s="69">
        <v>5971.0</v>
      </c>
      <c r="K361" s="70">
        <v>120.0</v>
      </c>
      <c r="L361" s="16">
        <v>19.0</v>
      </c>
      <c r="M361" s="16">
        <v>14.0</v>
      </c>
      <c r="N361" s="16">
        <v>3.0</v>
      </c>
      <c r="O361" s="73">
        <f t="shared" si="14"/>
        <v>120</v>
      </c>
      <c r="P361" s="72">
        <v>81.2</v>
      </c>
      <c r="Q361" s="73">
        <f t="array" ref="Q361">XLOOKUP(K361/1000, '运费（邮政）'!$A$2:$A$21, '运费（邮政）'!$B$2:$B$21, "超出范围", 1)</f>
        <v>1060</v>
      </c>
      <c r="R361" s="72">
        <v>15.99</v>
      </c>
      <c r="S361" s="74">
        <f t="shared" si="2"/>
        <v>12.03699887</v>
      </c>
      <c r="T361" s="75">
        <f t="shared" si="3"/>
        <v>97.19</v>
      </c>
      <c r="U361" s="76">
        <f t="array" ref="U361">XLOOKUP(O361/1000, '运费（橙联）'!$A$2:$A$57, '运费（橙联）'!$B$2:$B$57, "超出范围", 1)</f>
        <v>1367</v>
      </c>
      <c r="V361" s="77">
        <f>(P361*'参数表'!$C$2*(1+'参数表'!$C$3))*$B$1+'参数表'!$C$4</f>
        <v>1402.25384</v>
      </c>
      <c r="W361" s="68">
        <v>0.127</v>
      </c>
      <c r="X361" s="78">
        <v>0.0135</v>
      </c>
      <c r="Y361" s="79">
        <f t="shared" si="4"/>
        <v>1779.105148</v>
      </c>
      <c r="Z361" s="80">
        <f t="shared" si="5"/>
        <v>0.1542969149</v>
      </c>
      <c r="AA361" s="81">
        <f t="shared" si="6"/>
        <v>0.2979576533</v>
      </c>
      <c r="AB361" s="79">
        <f t="shared" si="7"/>
        <v>1864.631269</v>
      </c>
      <c r="AC361" s="80">
        <f t="shared" si="8"/>
        <v>0.1351086132</v>
      </c>
      <c r="AD361" s="81">
        <f t="shared" si="9"/>
        <v>0.3122812375</v>
      </c>
      <c r="AE361" s="74">
        <f>P361*(1-I361)*(1+'参数表'!$C$6)*(W361+X361+H361)*1.1+0.4*1.1</f>
        <v>19.157006</v>
      </c>
      <c r="AF361" s="74">
        <f t="shared" si="10"/>
        <v>22.5077105</v>
      </c>
      <c r="AG361" s="29"/>
    </row>
    <row r="362">
      <c r="A362" s="51" t="s">
        <v>1183</v>
      </c>
      <c r="B362" s="29"/>
      <c r="C362" s="60" t="s">
        <v>1184</v>
      </c>
      <c r="D362" s="42" t="s">
        <v>61</v>
      </c>
      <c r="E362" s="29"/>
      <c r="F362" s="29"/>
      <c r="G362" s="57" t="s">
        <v>1185</v>
      </c>
      <c r="H362" s="68">
        <v>0.05</v>
      </c>
      <c r="I362" s="68">
        <v>0.0</v>
      </c>
      <c r="J362" s="69">
        <v>9350.0</v>
      </c>
      <c r="K362" s="70">
        <v>120.0</v>
      </c>
      <c r="L362" s="16">
        <v>19.0</v>
      </c>
      <c r="M362" s="16">
        <v>14.0</v>
      </c>
      <c r="N362" s="16">
        <v>3.0</v>
      </c>
      <c r="O362" s="73">
        <f t="shared" si="14"/>
        <v>120</v>
      </c>
      <c r="P362" s="72">
        <v>123.0</v>
      </c>
      <c r="Q362" s="73">
        <f t="array" ref="Q362">XLOOKUP(K362/1000, '运费（邮政）'!$A$2:$A$21, '运费（邮政）'!$B$2:$B$21, "超出范围", 1)</f>
        <v>1060</v>
      </c>
      <c r="R362" s="72">
        <v>21.99</v>
      </c>
      <c r="S362" s="74">
        <f t="shared" si="2"/>
        <v>16.30477887</v>
      </c>
      <c r="T362" s="75">
        <f t="shared" si="3"/>
        <v>144.99</v>
      </c>
      <c r="U362" s="76">
        <f t="array" ref="U362">XLOOKUP(O362/1000, '运费（橙联）'!$A$2:$A$57, '运费（橙联）'!$B$2:$B$57, "超出范围", 1)</f>
        <v>1367</v>
      </c>
      <c r="V362" s="77">
        <f>(P362*'参数表'!$C$2*(1+'参数表'!$C$3))*$B$1+'参数表'!$C$4</f>
        <v>2008.2786</v>
      </c>
      <c r="W362" s="68">
        <v>0.127</v>
      </c>
      <c r="X362" s="78">
        <v>0.0135</v>
      </c>
      <c r="Y362" s="79">
        <f t="shared" si="4"/>
        <v>2967.51967</v>
      </c>
      <c r="Z362" s="80">
        <f t="shared" si="5"/>
        <v>0.1699026491</v>
      </c>
      <c r="AA362" s="81">
        <f t="shared" si="6"/>
        <v>0.3173817829</v>
      </c>
      <c r="AB362" s="79">
        <f t="shared" si="7"/>
        <v>3120.484431</v>
      </c>
      <c r="AC362" s="80">
        <f t="shared" si="8"/>
        <v>0.151563849</v>
      </c>
      <c r="AD362" s="81">
        <f t="shared" si="9"/>
        <v>0.3337416504</v>
      </c>
      <c r="AE362" s="74">
        <f>P362*(1-I362)*(1+'参数表'!$C$6)*(W362+X362+H362)*1.1+0.4*1.1</f>
        <v>28.792115</v>
      </c>
      <c r="AF362" s="74">
        <f t="shared" si="10"/>
        <v>33.4001195</v>
      </c>
      <c r="AG362" s="29"/>
    </row>
    <row r="363">
      <c r="A363" s="51" t="s">
        <v>1186</v>
      </c>
      <c r="B363" s="29"/>
      <c r="C363" s="60" t="s">
        <v>1187</v>
      </c>
      <c r="D363" s="42" t="s">
        <v>61</v>
      </c>
      <c r="E363" s="42" t="s">
        <v>367</v>
      </c>
      <c r="F363" s="29"/>
      <c r="G363" s="67" t="s">
        <v>1188</v>
      </c>
      <c r="H363" s="68">
        <v>0.05</v>
      </c>
      <c r="I363" s="68">
        <v>0.0</v>
      </c>
      <c r="J363" s="69">
        <v>3304.0</v>
      </c>
      <c r="K363" s="70">
        <v>120.0</v>
      </c>
      <c r="L363" s="16">
        <v>19.0</v>
      </c>
      <c r="M363" s="16">
        <v>14.0</v>
      </c>
      <c r="N363" s="16">
        <v>3.0</v>
      </c>
      <c r="O363" s="73">
        <f t="shared" si="14"/>
        <v>120</v>
      </c>
      <c r="P363" s="72">
        <v>51.8</v>
      </c>
      <c r="Q363" s="73">
        <f t="array" ref="Q363">XLOOKUP(K363/1000, '运费（邮政）'!$A$2:$A$21, '运费（邮政）'!$B$2:$B$21, "超出范围", 1)</f>
        <v>1060</v>
      </c>
      <c r="R363" s="72">
        <v>12.99</v>
      </c>
      <c r="S363" s="74">
        <f t="shared" si="2"/>
        <v>9.035258873</v>
      </c>
      <c r="T363" s="75">
        <f t="shared" si="3"/>
        <v>64.79</v>
      </c>
      <c r="U363" s="76">
        <f t="array" ref="U363">XLOOKUP(O363/1000, '运费（橙联）'!$A$2:$A$57, '运费（橙联）'!$B$2:$B$57, "超出范围", 1)</f>
        <v>1367</v>
      </c>
      <c r="V363" s="77">
        <f>(P363*'参数表'!$C$2*(1+'参数表'!$C$3))*$B$1+'参数表'!$C$4</f>
        <v>976.00676</v>
      </c>
      <c r="W363" s="68">
        <v>0.127</v>
      </c>
      <c r="X363" s="78">
        <v>0.0135</v>
      </c>
      <c r="Y363" s="79">
        <f t="shared" si="4"/>
        <v>1233.617422</v>
      </c>
      <c r="Z363" s="80">
        <f t="shared" si="5"/>
        <v>0.167711325</v>
      </c>
      <c r="AA363" s="81">
        <f t="shared" si="6"/>
        <v>0.3733708904</v>
      </c>
      <c r="AB363" s="79">
        <f t="shared" si="7"/>
        <v>1408.658923</v>
      </c>
      <c r="AC363" s="80">
        <f t="shared" si="8"/>
        <v>0.1531121047</v>
      </c>
      <c r="AD363" s="81">
        <f t="shared" si="9"/>
        <v>0.426349553</v>
      </c>
      <c r="AE363" s="74">
        <f>P363*(1-I363)*(1+'参数表'!$C$6)*(W363+X363+H363)*1.1+0.4*1.1</f>
        <v>12.380159</v>
      </c>
      <c r="AF363" s="74">
        <f t="shared" si="10"/>
        <v>15.1022135</v>
      </c>
      <c r="AG363" s="29"/>
    </row>
    <row r="364">
      <c r="A364" s="51" t="s">
        <v>1189</v>
      </c>
      <c r="B364" s="29"/>
      <c r="C364" s="60" t="s">
        <v>1190</v>
      </c>
      <c r="D364" s="42" t="s">
        <v>61</v>
      </c>
      <c r="E364" s="42" t="s">
        <v>89</v>
      </c>
      <c r="F364" s="29"/>
      <c r="G364" s="67" t="s">
        <v>1191</v>
      </c>
      <c r="H364" s="68">
        <v>0.05</v>
      </c>
      <c r="I364" s="68">
        <v>0.0</v>
      </c>
      <c r="J364" s="69">
        <v>1161.0</v>
      </c>
      <c r="K364" s="70">
        <v>120.0</v>
      </c>
      <c r="L364" s="16">
        <v>19.0</v>
      </c>
      <c r="M364" s="16">
        <v>14.0</v>
      </c>
      <c r="N364" s="16">
        <v>3.0</v>
      </c>
      <c r="O364" s="73">
        <f t="shared" si="14"/>
        <v>120</v>
      </c>
      <c r="P364" s="72">
        <v>24.8</v>
      </c>
      <c r="Q364" s="73">
        <f t="array" ref="Q364">XLOOKUP(K364/1000, '运费（邮政）'!$A$2:$A$21, '运费（邮政）'!$B$2:$B$21, "超出范围", 1)</f>
        <v>1060</v>
      </c>
      <c r="R364" s="72">
        <v>9.99</v>
      </c>
      <c r="S364" s="74">
        <f t="shared" si="2"/>
        <v>6.278558873</v>
      </c>
      <c r="T364" s="75">
        <f t="shared" si="3"/>
        <v>34.79</v>
      </c>
      <c r="U364" s="76">
        <f t="array" ref="U364">XLOOKUP(O364/1000, '运费（橙联）'!$A$2:$A$57, '运费（橙联）'!$B$2:$B$57, "超出范围", 1)</f>
        <v>1367</v>
      </c>
      <c r="V364" s="77">
        <f>(P364*'参数表'!$C$2*(1+'参数表'!$C$3))*$B$1+'参数表'!$C$4</f>
        <v>584.55536</v>
      </c>
      <c r="W364" s="68">
        <v>0.127</v>
      </c>
      <c r="X364" s="78">
        <v>0.0135</v>
      </c>
      <c r="Y364" s="79">
        <f t="shared" si="4"/>
        <v>426.373592</v>
      </c>
      <c r="Z364" s="80">
        <f t="shared" si="5"/>
        <v>0.1210738278</v>
      </c>
      <c r="AA364" s="81">
        <f t="shared" si="6"/>
        <v>0.3672468493</v>
      </c>
      <c r="AB364" s="79">
        <f t="shared" si="7"/>
        <v>656.134793</v>
      </c>
      <c r="AC364" s="80">
        <f t="shared" si="8"/>
        <v>0.1328159689</v>
      </c>
      <c r="AD364" s="81">
        <f t="shared" si="9"/>
        <v>0.5651462472</v>
      </c>
      <c r="AE364" s="74">
        <f>P364*(1-I364)*(1+'参数表'!$C$6)*(W364+X364+H364)*1.1+0.4*1.1</f>
        <v>6.156524</v>
      </c>
      <c r="AF364" s="74">
        <f t="shared" si="10"/>
        <v>8.2499285</v>
      </c>
      <c r="AG364" s="29"/>
    </row>
    <row r="365">
      <c r="A365" s="51" t="s">
        <v>1192</v>
      </c>
      <c r="B365" s="29"/>
      <c r="C365" s="60" t="s">
        <v>1193</v>
      </c>
      <c r="D365" s="42" t="s">
        <v>61</v>
      </c>
      <c r="E365" s="29"/>
      <c r="F365" s="29"/>
      <c r="G365" s="67" t="s">
        <v>1194</v>
      </c>
      <c r="H365" s="68">
        <v>0.05</v>
      </c>
      <c r="I365" s="68">
        <v>0.0</v>
      </c>
      <c r="J365" s="69">
        <v>9905.0</v>
      </c>
      <c r="K365" s="70">
        <v>400.0</v>
      </c>
      <c r="L365" s="82">
        <v>30.0</v>
      </c>
      <c r="M365" s="82">
        <v>13.0</v>
      </c>
      <c r="N365" s="82">
        <v>5.0</v>
      </c>
      <c r="O365" s="73">
        <f t="shared" si="14"/>
        <v>400</v>
      </c>
      <c r="P365" s="72">
        <v>128.0</v>
      </c>
      <c r="Q365" s="73">
        <f t="array" ref="Q365">XLOOKUP(K365/1000, '运费（邮政）'!$A$2:$A$21, '运费（邮政）'!$B$2:$B$21, "超出范围", 1)</f>
        <v>1420</v>
      </c>
      <c r="R365" s="72">
        <v>24.99</v>
      </c>
      <c r="S365" s="74">
        <f t="shared" si="2"/>
        <v>17.1744338</v>
      </c>
      <c r="T365" s="75">
        <f t="shared" si="3"/>
        <v>152.99</v>
      </c>
      <c r="U365" s="76">
        <f t="array" ref="U365">XLOOKUP(O365/1000, '运费（橙联）'!$A$2:$A$57, '运费（橙联）'!$B$2:$B$57, "超出范围", 1)</f>
        <v>1778</v>
      </c>
      <c r="V365" s="77">
        <f>(P365*'参数表'!$C$2*(1+'参数表'!$C$3))*$B$1+'参数表'!$C$4</f>
        <v>2080.7696</v>
      </c>
      <c r="W365" s="68">
        <v>0.127</v>
      </c>
      <c r="X365" s="78">
        <v>0.0135</v>
      </c>
      <c r="Y365" s="79">
        <f t="shared" si="4"/>
        <v>2598.86112</v>
      </c>
      <c r="Z365" s="80">
        <f t="shared" si="5"/>
        <v>0.1429831162</v>
      </c>
      <c r="AA365" s="81">
        <f t="shared" si="6"/>
        <v>0.2623787097</v>
      </c>
      <c r="AB365" s="79">
        <f t="shared" si="7"/>
        <v>2965.066581</v>
      </c>
      <c r="AC365" s="80">
        <f t="shared" si="8"/>
        <v>0.1364844145</v>
      </c>
      <c r="AD365" s="81">
        <f t="shared" si="9"/>
        <v>0.2993504877</v>
      </c>
      <c r="AE365" s="74">
        <f>P365*(1-I365)*(1+'参数表'!$C$6)*(W365+X365+H365)*1.1+0.4*1.1</f>
        <v>29.94464</v>
      </c>
      <c r="AF365" s="74">
        <f t="shared" si="10"/>
        <v>35.1812945</v>
      </c>
      <c r="AG365" s="29"/>
    </row>
    <row r="366">
      <c r="A366" s="51" t="s">
        <v>1189</v>
      </c>
      <c r="B366" s="29"/>
      <c r="C366" s="60" t="s">
        <v>1195</v>
      </c>
      <c r="D366" s="42" t="s">
        <v>61</v>
      </c>
      <c r="E366" s="42" t="s">
        <v>367</v>
      </c>
      <c r="F366" s="29"/>
      <c r="G366" s="67" t="s">
        <v>1196</v>
      </c>
      <c r="H366" s="68">
        <v>0.05</v>
      </c>
      <c r="I366" s="68">
        <v>0.0</v>
      </c>
      <c r="J366" s="69">
        <v>1628.0</v>
      </c>
      <c r="K366" s="70">
        <v>120.0</v>
      </c>
      <c r="L366" s="16">
        <v>19.0</v>
      </c>
      <c r="M366" s="16">
        <v>14.0</v>
      </c>
      <c r="N366" s="16">
        <v>3.0</v>
      </c>
      <c r="O366" s="73">
        <f t="shared" si="14"/>
        <v>120</v>
      </c>
      <c r="P366" s="72">
        <v>29.8</v>
      </c>
      <c r="Q366" s="73">
        <f t="array" ref="Q366">XLOOKUP(K366/1000, '运费（邮政）'!$A$2:$A$21, '运费（邮政）'!$B$2:$B$21, "超出范围", 1)</f>
        <v>1060</v>
      </c>
      <c r="R366" s="72">
        <v>9.99</v>
      </c>
      <c r="S366" s="74">
        <f t="shared" si="2"/>
        <v>6.789058873</v>
      </c>
      <c r="T366" s="75">
        <f t="shared" si="3"/>
        <v>39.79</v>
      </c>
      <c r="U366" s="76">
        <f t="array" ref="U366">XLOOKUP(O366/1000, '运费（橙联）'!$A$2:$A$57, '运费（橙联）'!$B$2:$B$57, "超出范围", 1)</f>
        <v>1367</v>
      </c>
      <c r="V366" s="77">
        <f>(P366*'参数表'!$C$2*(1+'参数表'!$C$3))*$B$1+'参数表'!$C$4</f>
        <v>657.04636</v>
      </c>
      <c r="W366" s="68">
        <v>0.127</v>
      </c>
      <c r="X366" s="78">
        <v>0.0135</v>
      </c>
      <c r="Y366" s="79">
        <f t="shared" si="4"/>
        <v>505.715042</v>
      </c>
      <c r="Z366" s="80">
        <f t="shared" si="5"/>
        <v>0.119509179</v>
      </c>
      <c r="AA366" s="81">
        <f t="shared" si="6"/>
        <v>0.3106357752</v>
      </c>
      <c r="AB366" s="79">
        <f t="shared" si="7"/>
        <v>662.985243</v>
      </c>
      <c r="AC366" s="80">
        <f t="shared" si="8"/>
        <v>0.1173387827</v>
      </c>
      <c r="AD366" s="81">
        <f t="shared" si="9"/>
        <v>0.4072390928</v>
      </c>
      <c r="AE366" s="74">
        <f>P366*(1-I366)*(1+'参数表'!$C$6)*(W366+X366+H366)*1.1+0.4*1.1</f>
        <v>7.309049</v>
      </c>
      <c r="AF366" s="74">
        <f t="shared" si="10"/>
        <v>9.4024535</v>
      </c>
      <c r="AG366" s="29"/>
    </row>
    <row r="367">
      <c r="A367" s="51" t="s">
        <v>1197</v>
      </c>
      <c r="B367" s="51" t="s">
        <v>1198</v>
      </c>
      <c r="C367" s="60" t="s">
        <v>1199</v>
      </c>
      <c r="D367" s="42" t="s">
        <v>61</v>
      </c>
      <c r="E367" s="29"/>
      <c r="F367" s="29"/>
      <c r="G367" s="67" t="s">
        <v>1200</v>
      </c>
      <c r="H367" s="68">
        <v>0.05</v>
      </c>
      <c r="I367" s="68">
        <v>0.0</v>
      </c>
      <c r="J367" s="69">
        <v>13600.0</v>
      </c>
      <c r="K367" s="70">
        <v>2700.0</v>
      </c>
      <c r="L367" s="84">
        <v>34.0</v>
      </c>
      <c r="M367" s="84">
        <v>24.0</v>
      </c>
      <c r="N367" s="84">
        <v>2.0</v>
      </c>
      <c r="O367" s="73">
        <f t="shared" si="14"/>
        <v>2700</v>
      </c>
      <c r="P367" s="72">
        <v>149.8</v>
      </c>
      <c r="Q367" s="73" t="str">
        <f t="array" ref="Q367">XLOOKUP(K367/1000, '运费（邮政）'!$A$2:$A$21, '运费（邮政）'!$B$2:$B$21, "超出范围", 1)</f>
        <v>超出范围</v>
      </c>
      <c r="R367" s="72">
        <v>70.0</v>
      </c>
      <c r="S367" s="74" t="str">
        <f t="shared" si="2"/>
        <v>#VALUE!</v>
      </c>
      <c r="T367" s="75">
        <f t="shared" si="3"/>
        <v>219.8</v>
      </c>
      <c r="U367" s="76">
        <f t="array" ref="U367">XLOOKUP(O367/1000, '运费（橙联）'!$A$2:$A$57, '运费（橙联）'!$B$2:$B$57, "超出范围", 1)</f>
        <v>4956</v>
      </c>
      <c r="V367" s="77">
        <f>(P367*'参数表'!$C$2*(1+'参数表'!$C$3))*$B$1+'参数表'!$C$4</f>
        <v>2396.83036</v>
      </c>
      <c r="W367" s="68">
        <v>0.127</v>
      </c>
      <c r="X367" s="78">
        <v>0.0135</v>
      </c>
      <c r="Y367" s="79" t="str">
        <f t="shared" si="4"/>
        <v>#VALUE!</v>
      </c>
      <c r="Z367" s="80" t="str">
        <f t="shared" si="5"/>
        <v>#VALUE!</v>
      </c>
      <c r="AA367" s="81" t="str">
        <f t="shared" si="6"/>
        <v>#VALUE!</v>
      </c>
      <c r="AB367" s="79">
        <f t="shared" si="7"/>
        <v>3210.152482</v>
      </c>
      <c r="AC367" s="80">
        <f t="shared" si="8"/>
        <v>0.1028512631</v>
      </c>
      <c r="AD367" s="81">
        <f t="shared" si="9"/>
        <v>0.2360406237</v>
      </c>
      <c r="AE367" s="74">
        <f>P367*(1-I367)*(1+'参数表'!$C$6)*(W367+X367+H367)*1.1+0.4*1.1</f>
        <v>34.969649</v>
      </c>
      <c r="AF367" s="74">
        <f t="shared" si="10"/>
        <v>49.638149</v>
      </c>
      <c r="AG367" s="29"/>
    </row>
    <row r="368">
      <c r="A368" s="51" t="s">
        <v>1201</v>
      </c>
      <c r="B368" s="29"/>
      <c r="C368" s="60" t="s">
        <v>1202</v>
      </c>
      <c r="D368" s="42" t="s">
        <v>61</v>
      </c>
      <c r="E368" s="42" t="s">
        <v>594</v>
      </c>
      <c r="F368" s="29"/>
      <c r="G368" s="67" t="s">
        <v>1203</v>
      </c>
      <c r="H368" s="68">
        <v>0.05</v>
      </c>
      <c r="I368" s="68">
        <v>0.0</v>
      </c>
      <c r="J368" s="69">
        <v>2549.0</v>
      </c>
      <c r="K368" s="70">
        <v>120.0</v>
      </c>
      <c r="L368" s="16">
        <v>19.0</v>
      </c>
      <c r="M368" s="16">
        <v>14.0</v>
      </c>
      <c r="N368" s="16">
        <v>3.0</v>
      </c>
      <c r="O368" s="73">
        <f t="shared" si="14"/>
        <v>120</v>
      </c>
      <c r="P368" s="72">
        <v>39.8</v>
      </c>
      <c r="Q368" s="73">
        <f t="array" ref="Q368">XLOOKUP(K368/1000, '运费（邮政）'!$A$2:$A$21, '运费（邮政）'!$B$2:$B$21, "超出范围", 1)</f>
        <v>1060</v>
      </c>
      <c r="R368" s="72">
        <v>9.99</v>
      </c>
      <c r="S368" s="74">
        <f t="shared" si="2"/>
        <v>7.810058873</v>
      </c>
      <c r="T368" s="75">
        <f t="shared" si="3"/>
        <v>49.79</v>
      </c>
      <c r="U368" s="76">
        <f t="array" ref="U368">XLOOKUP(O368/1000, '运费（橙联）'!$A$2:$A$57, '运费（橙联）'!$B$2:$B$57, "超出范围", 1)</f>
        <v>1367</v>
      </c>
      <c r="V368" s="77">
        <f>(P368*'参数表'!$C$2*(1+'参数表'!$C$3))*$B$1+'参数表'!$C$4</f>
        <v>802.02836</v>
      </c>
      <c r="W368" s="68">
        <v>0.127</v>
      </c>
      <c r="X368" s="78">
        <v>0.0135</v>
      </c>
      <c r="Y368" s="79">
        <f t="shared" si="4"/>
        <v>677.397942</v>
      </c>
      <c r="Z368" s="80">
        <f t="shared" si="5"/>
        <v>0.1198594985</v>
      </c>
      <c r="AA368" s="81">
        <f t="shared" si="6"/>
        <v>0.2657504676</v>
      </c>
      <c r="AB368" s="79">
        <f t="shared" si="7"/>
        <v>689.686143</v>
      </c>
      <c r="AC368" s="80">
        <f t="shared" si="8"/>
        <v>0.09754859749</v>
      </c>
      <c r="AD368" s="81">
        <f t="shared" si="9"/>
        <v>0.2705712605</v>
      </c>
      <c r="AE368" s="74">
        <f>P368*(1-I368)*(1+'参数表'!$C$6)*(W368+X368+H368)*1.1+0.4*1.1</f>
        <v>9.614099</v>
      </c>
      <c r="AF368" s="74">
        <f t="shared" si="10"/>
        <v>11.7075035</v>
      </c>
      <c r="AG368" s="29"/>
    </row>
    <row r="369">
      <c r="A369" s="51" t="s">
        <v>1204</v>
      </c>
      <c r="B369" s="29"/>
      <c r="C369" s="60" t="s">
        <v>1205</v>
      </c>
      <c r="D369" s="42" t="s">
        <v>61</v>
      </c>
      <c r="E369" s="42" t="s">
        <v>591</v>
      </c>
      <c r="F369" s="29"/>
      <c r="G369" s="67" t="s">
        <v>1206</v>
      </c>
      <c r="H369" s="68">
        <v>0.05</v>
      </c>
      <c r="I369" s="68">
        <v>0.0</v>
      </c>
      <c r="J369" s="69">
        <v>2508.0</v>
      </c>
      <c r="K369" s="70">
        <v>120.0</v>
      </c>
      <c r="L369" s="16">
        <v>19.0</v>
      </c>
      <c r="M369" s="16">
        <v>14.0</v>
      </c>
      <c r="N369" s="16">
        <v>3.0</v>
      </c>
      <c r="O369" s="73">
        <f t="shared" si="14"/>
        <v>120</v>
      </c>
      <c r="P369" s="72">
        <v>39.8</v>
      </c>
      <c r="Q369" s="73">
        <f t="array" ref="Q369">XLOOKUP(K369/1000, '运费（邮政）'!$A$2:$A$21, '运费（邮政）'!$B$2:$B$21, "超出范围", 1)</f>
        <v>1060</v>
      </c>
      <c r="R369" s="72">
        <v>9.99</v>
      </c>
      <c r="S369" s="74">
        <f t="shared" si="2"/>
        <v>7.810058873</v>
      </c>
      <c r="T369" s="75">
        <f t="shared" si="3"/>
        <v>49.79</v>
      </c>
      <c r="U369" s="76">
        <f t="array" ref="U369">XLOOKUP(O369/1000, '运费（橙联）'!$A$2:$A$57, '运费（橙联）'!$B$2:$B$57, "超出范围", 1)</f>
        <v>1367</v>
      </c>
      <c r="V369" s="77">
        <f>(P369*'参数表'!$C$2*(1+'参数表'!$C$3))*$B$1+'参数表'!$C$4</f>
        <v>802.02836</v>
      </c>
      <c r="W369" s="68">
        <v>0.127</v>
      </c>
      <c r="X369" s="78">
        <v>0.0135</v>
      </c>
      <c r="Y369" s="79">
        <f t="shared" si="4"/>
        <v>718.397942</v>
      </c>
      <c r="Z369" s="80">
        <f t="shared" si="5"/>
        <v>0.1271140813</v>
      </c>
      <c r="AA369" s="81">
        <f t="shared" si="6"/>
        <v>0.2864425606</v>
      </c>
      <c r="AB369" s="79">
        <f t="shared" si="7"/>
        <v>730.686143</v>
      </c>
      <c r="AC369" s="80">
        <f t="shared" si="8"/>
        <v>0.1033476012</v>
      </c>
      <c r="AD369" s="81">
        <f t="shared" si="9"/>
        <v>0.2913421623</v>
      </c>
      <c r="AE369" s="74">
        <f>P369*(1-I369)*(1+'参数表'!$C$6)*(W369+X369+H369)*1.1+0.4*1.1</f>
        <v>9.614099</v>
      </c>
      <c r="AF369" s="74">
        <f t="shared" si="10"/>
        <v>11.7075035</v>
      </c>
      <c r="AG369" s="29"/>
    </row>
    <row r="370">
      <c r="A370" s="51" t="s">
        <v>1204</v>
      </c>
      <c r="B370" s="29"/>
      <c r="C370" s="60" t="s">
        <v>1207</v>
      </c>
      <c r="D370" s="42" t="s">
        <v>61</v>
      </c>
      <c r="E370" s="42" t="s">
        <v>367</v>
      </c>
      <c r="F370" s="29"/>
      <c r="G370" s="67" t="s">
        <v>1208</v>
      </c>
      <c r="H370" s="68">
        <v>0.05</v>
      </c>
      <c r="I370" s="68">
        <v>0.0</v>
      </c>
      <c r="J370" s="69">
        <v>1915.0</v>
      </c>
      <c r="K370" s="70">
        <v>120.0</v>
      </c>
      <c r="L370" s="16">
        <v>19.0</v>
      </c>
      <c r="M370" s="16">
        <v>14.0</v>
      </c>
      <c r="N370" s="16">
        <v>3.0</v>
      </c>
      <c r="O370" s="73">
        <f t="shared" si="14"/>
        <v>120</v>
      </c>
      <c r="P370" s="72">
        <v>32.8</v>
      </c>
      <c r="Q370" s="73">
        <f t="array" ref="Q370">XLOOKUP(K370/1000, '运费（邮政）'!$A$2:$A$21, '运费（邮政）'!$B$2:$B$21, "超出范围", 1)</f>
        <v>1060</v>
      </c>
      <c r="R370" s="72">
        <v>9.99</v>
      </c>
      <c r="S370" s="74">
        <f t="shared" si="2"/>
        <v>7.095358873</v>
      </c>
      <c r="T370" s="75">
        <f t="shared" si="3"/>
        <v>42.79</v>
      </c>
      <c r="U370" s="76">
        <f t="array" ref="U370">XLOOKUP(O370/1000, '运费（橙联）'!$A$2:$A$57, '运费（橙联）'!$B$2:$B$57, "超出范围", 1)</f>
        <v>1367</v>
      </c>
      <c r="V370" s="77">
        <f>(P370*'参数表'!$C$2*(1+'参数表'!$C$3))*$B$1+'参数表'!$C$4</f>
        <v>700.54096</v>
      </c>
      <c r="W370" s="68">
        <v>0.127</v>
      </c>
      <c r="X370" s="78">
        <v>0.0135</v>
      </c>
      <c r="Y370" s="79">
        <f t="shared" si="4"/>
        <v>546.519912</v>
      </c>
      <c r="Z370" s="80">
        <f t="shared" si="5"/>
        <v>0.1173393834</v>
      </c>
      <c r="AA370" s="81">
        <f t="shared" si="6"/>
        <v>0.285388988</v>
      </c>
      <c r="AB370" s="79">
        <f t="shared" si="7"/>
        <v>660.295513</v>
      </c>
      <c r="AC370" s="80">
        <f t="shared" si="8"/>
        <v>0.1086695116</v>
      </c>
      <c r="AD370" s="81">
        <f t="shared" si="9"/>
        <v>0.3448018345</v>
      </c>
      <c r="AE370" s="74">
        <f>P370*(1-I370)*(1+'参数表'!$C$6)*(W370+X370+H370)*1.1+0.4*1.1</f>
        <v>8.000564</v>
      </c>
      <c r="AF370" s="74">
        <f t="shared" si="10"/>
        <v>10.0939685</v>
      </c>
      <c r="AG370" s="29"/>
    </row>
    <row r="371">
      <c r="A371" s="51" t="s">
        <v>1209</v>
      </c>
      <c r="B371" s="29"/>
      <c r="C371" s="60" t="s">
        <v>1210</v>
      </c>
      <c r="D371" s="42" t="s">
        <v>61</v>
      </c>
      <c r="E371" s="42" t="s">
        <v>89</v>
      </c>
      <c r="F371" s="29"/>
      <c r="G371" s="57" t="s">
        <v>1211</v>
      </c>
      <c r="H371" s="68">
        <v>0.05</v>
      </c>
      <c r="I371" s="68">
        <v>0.0</v>
      </c>
      <c r="J371" s="69">
        <v>1462.0</v>
      </c>
      <c r="K371" s="70">
        <v>120.0</v>
      </c>
      <c r="L371" s="16">
        <v>19.0</v>
      </c>
      <c r="M371" s="16">
        <v>14.0</v>
      </c>
      <c r="N371" s="16">
        <v>3.0</v>
      </c>
      <c r="O371" s="73">
        <f t="shared" si="14"/>
        <v>120</v>
      </c>
      <c r="P371" s="72">
        <v>27.8</v>
      </c>
      <c r="Q371" s="73">
        <f t="array" ref="Q371">XLOOKUP(K371/1000, '运费（邮政）'!$A$2:$A$21, '运费（邮政）'!$B$2:$B$21, "超出范围", 1)</f>
        <v>1060</v>
      </c>
      <c r="R371" s="72">
        <v>9.99</v>
      </c>
      <c r="S371" s="74">
        <f t="shared" si="2"/>
        <v>6.584858873</v>
      </c>
      <c r="T371" s="75">
        <f t="shared" si="3"/>
        <v>37.79</v>
      </c>
      <c r="U371" s="76">
        <f t="array" ref="U371">XLOOKUP(O371/1000, '运费（橙联）'!$A$2:$A$57, '运费（橙联）'!$B$2:$B$57, "超出范围", 1)</f>
        <v>1367</v>
      </c>
      <c r="V371" s="77">
        <f>(P371*'参数表'!$C$2*(1+'参数表'!$C$3))*$B$1+'参数表'!$C$4</f>
        <v>628.04996</v>
      </c>
      <c r="W371" s="68">
        <v>0.127</v>
      </c>
      <c r="X371" s="78">
        <v>0.0135</v>
      </c>
      <c r="Y371" s="79">
        <f t="shared" si="4"/>
        <v>453.178462</v>
      </c>
      <c r="Z371" s="80">
        <f t="shared" si="5"/>
        <v>0.1147984755</v>
      </c>
      <c r="AA371" s="81">
        <f t="shared" si="6"/>
        <v>0.3099715882</v>
      </c>
      <c r="AB371" s="79">
        <f t="shared" si="7"/>
        <v>639.445063</v>
      </c>
      <c r="AC371" s="80">
        <f t="shared" si="8"/>
        <v>0.11916206</v>
      </c>
      <c r="AD371" s="81">
        <f t="shared" si="9"/>
        <v>0.4373769241</v>
      </c>
      <c r="AE371" s="74">
        <f>P371*(1-I371)*(1+'参数表'!$C$6)*(W371+X371+H371)*1.1+0.4*1.1</f>
        <v>6.848039</v>
      </c>
      <c r="AF371" s="74">
        <f t="shared" si="10"/>
        <v>8.9414435</v>
      </c>
      <c r="AG371" s="29"/>
    </row>
    <row r="372">
      <c r="A372" s="51" t="s">
        <v>1212</v>
      </c>
      <c r="B372" s="29"/>
      <c r="C372" s="60" t="s">
        <v>1213</v>
      </c>
      <c r="D372" s="42" t="s">
        <v>61</v>
      </c>
      <c r="E372" s="42" t="s">
        <v>89</v>
      </c>
      <c r="F372" s="29"/>
      <c r="G372" s="57" t="s">
        <v>1214</v>
      </c>
      <c r="H372" s="68">
        <v>0.05</v>
      </c>
      <c r="I372" s="68">
        <v>0.0</v>
      </c>
      <c r="J372" s="69">
        <v>2202.0</v>
      </c>
      <c r="K372" s="70">
        <v>120.0</v>
      </c>
      <c r="L372" s="16">
        <v>19.0</v>
      </c>
      <c r="M372" s="16">
        <v>14.0</v>
      </c>
      <c r="N372" s="16">
        <v>3.0</v>
      </c>
      <c r="O372" s="73">
        <f t="shared" si="14"/>
        <v>120</v>
      </c>
      <c r="P372" s="72">
        <v>36.8</v>
      </c>
      <c r="Q372" s="73">
        <f t="array" ref="Q372">XLOOKUP(K372/1000, '运费（邮政）'!$A$2:$A$21, '运费（邮政）'!$B$2:$B$21, "超出范围", 1)</f>
        <v>1060</v>
      </c>
      <c r="R372" s="72">
        <v>9.99</v>
      </c>
      <c r="S372" s="74">
        <f t="shared" si="2"/>
        <v>7.503758873</v>
      </c>
      <c r="T372" s="75">
        <f t="shared" si="3"/>
        <v>46.79</v>
      </c>
      <c r="U372" s="76">
        <f t="array" ref="U372">XLOOKUP(O372/1000, '运费（橙联）'!$A$2:$A$57, '运费（橙联）'!$B$2:$B$57, "超出范围", 1)</f>
        <v>1367</v>
      </c>
      <c r="V372" s="77">
        <f>(P372*'参数表'!$C$2*(1+'参数表'!$C$3))*$B$1+'参数表'!$C$4</f>
        <v>758.53376</v>
      </c>
      <c r="W372" s="68">
        <v>0.127</v>
      </c>
      <c r="X372" s="78">
        <v>0.0135</v>
      </c>
      <c r="Y372" s="79">
        <f t="shared" si="4"/>
        <v>696.593072</v>
      </c>
      <c r="Z372" s="80">
        <f t="shared" si="5"/>
        <v>0.1333039406</v>
      </c>
      <c r="AA372" s="81">
        <f t="shared" si="6"/>
        <v>0.3163456276</v>
      </c>
      <c r="AB372" s="79">
        <f t="shared" si="7"/>
        <v>752.375873</v>
      </c>
      <c r="AC372" s="80">
        <f t="shared" si="8"/>
        <v>0.1132383339</v>
      </c>
      <c r="AD372" s="81">
        <f t="shared" si="9"/>
        <v>0.3416784164</v>
      </c>
      <c r="AE372" s="74">
        <f>P372*(1-I372)*(1+'参数表'!$C$6)*(W372+X372+H372)*1.1+0.4*1.1</f>
        <v>8.922584</v>
      </c>
      <c r="AF372" s="74">
        <f t="shared" si="10"/>
        <v>11.0159885</v>
      </c>
      <c r="AG372" s="29"/>
    </row>
    <row r="373">
      <c r="A373" s="51" t="s">
        <v>1215</v>
      </c>
      <c r="B373" s="51" t="s">
        <v>1216</v>
      </c>
      <c r="C373" s="60" t="s">
        <v>1217</v>
      </c>
      <c r="D373" s="42" t="s">
        <v>61</v>
      </c>
      <c r="E373" s="29"/>
      <c r="F373" s="29"/>
      <c r="G373" s="67" t="s">
        <v>1218</v>
      </c>
      <c r="H373" s="68">
        <v>0.05</v>
      </c>
      <c r="I373" s="68">
        <v>0.0</v>
      </c>
      <c r="J373" s="69">
        <v>13800.0</v>
      </c>
      <c r="K373" s="70">
        <v>1300.0</v>
      </c>
      <c r="L373" s="84">
        <v>34.0</v>
      </c>
      <c r="M373" s="84">
        <v>24.0</v>
      </c>
      <c r="N373" s="84">
        <v>2.0</v>
      </c>
      <c r="O373" s="73">
        <f t="shared" si="14"/>
        <v>1300</v>
      </c>
      <c r="P373" s="72">
        <v>147.8</v>
      </c>
      <c r="Q373" s="73">
        <f t="array" ref="Q373">XLOOKUP(K373/1000, '运费（邮政）'!$A$2:$A$21, '运费（邮政）'!$B$2:$B$21, "超出范围", 1)</f>
        <v>3040</v>
      </c>
      <c r="R373" s="72">
        <v>58.0</v>
      </c>
      <c r="S373" s="74">
        <f t="shared" si="2"/>
        <v>18.97066169</v>
      </c>
      <c r="T373" s="75">
        <f t="shared" si="3"/>
        <v>205.8</v>
      </c>
      <c r="U373" s="76">
        <f t="array" ref="U373">XLOOKUP(O373/1000, '运费（橙联）'!$A$2:$A$57, '运费（橙联）'!$B$2:$B$57, "超出范围", 1)</f>
        <v>3366</v>
      </c>
      <c r="V373" s="77">
        <f>(P373*'参数表'!$C$2*(1+'参数表'!$C$3))*$B$1+'参数表'!$C$4</f>
        <v>2367.83396</v>
      </c>
      <c r="W373" s="68">
        <v>0.127</v>
      </c>
      <c r="X373" s="78">
        <v>0.0135</v>
      </c>
      <c r="Y373" s="79">
        <f t="shared" si="4"/>
        <v>-752.626738</v>
      </c>
      <c r="Z373" s="80">
        <f t="shared" si="5"/>
        <v>-0.03586054327</v>
      </c>
      <c r="AA373" s="81">
        <f t="shared" si="6"/>
        <v>-0.05453816942</v>
      </c>
      <c r="AB373" s="79">
        <f t="shared" si="7"/>
        <v>3063.685502</v>
      </c>
      <c r="AC373" s="80">
        <f t="shared" si="8"/>
        <v>0.1048360059</v>
      </c>
      <c r="AD373" s="81">
        <f t="shared" si="9"/>
        <v>0.2220061958</v>
      </c>
      <c r="AE373" s="74">
        <f>P373*(1-I373)*(1+'参数表'!$C$6)*(W373+X373+H373)*1.1+0.4*1.1</f>
        <v>34.508639</v>
      </c>
      <c r="AF373" s="74">
        <f t="shared" si="10"/>
        <v>46.662539</v>
      </c>
      <c r="AG373" s="29"/>
    </row>
    <row r="374">
      <c r="A374" s="51" t="s">
        <v>1219</v>
      </c>
      <c r="B374" s="29"/>
      <c r="C374" s="60" t="s">
        <v>1220</v>
      </c>
      <c r="D374" s="42" t="s">
        <v>61</v>
      </c>
      <c r="E374" s="42" t="s">
        <v>367</v>
      </c>
      <c r="F374" s="29"/>
      <c r="G374" s="57" t="s">
        <v>1221</v>
      </c>
      <c r="H374" s="68">
        <v>0.05</v>
      </c>
      <c r="I374" s="68">
        <v>0.0</v>
      </c>
      <c r="J374" s="69">
        <v>1929.0</v>
      </c>
      <c r="K374" s="70">
        <v>120.0</v>
      </c>
      <c r="L374" s="16">
        <v>19.0</v>
      </c>
      <c r="M374" s="16">
        <v>14.0</v>
      </c>
      <c r="N374" s="16">
        <v>3.0</v>
      </c>
      <c r="O374" s="73">
        <f t="shared" si="14"/>
        <v>120</v>
      </c>
      <c r="P374" s="72">
        <v>32.8</v>
      </c>
      <c r="Q374" s="73">
        <f t="array" ref="Q374">XLOOKUP(K374/1000, '运费（邮政）'!$A$2:$A$21, '运费（邮政）'!$B$2:$B$21, "超出范围", 1)</f>
        <v>1060</v>
      </c>
      <c r="R374" s="72">
        <v>9.99</v>
      </c>
      <c r="S374" s="74">
        <f t="shared" si="2"/>
        <v>7.095358873</v>
      </c>
      <c r="T374" s="75">
        <f t="shared" si="3"/>
        <v>42.79</v>
      </c>
      <c r="U374" s="76">
        <f t="array" ref="U374">XLOOKUP(O374/1000, '运费（橙联）'!$A$2:$A$57, '运费（橙联）'!$B$2:$B$57, "超出范围", 1)</f>
        <v>1367</v>
      </c>
      <c r="V374" s="77">
        <f>(P374*'参数表'!$C$2*(1+'参数表'!$C$3))*$B$1+'参数表'!$C$4</f>
        <v>700.54096</v>
      </c>
      <c r="W374" s="68">
        <v>0.127</v>
      </c>
      <c r="X374" s="78">
        <v>0.0135</v>
      </c>
      <c r="Y374" s="79">
        <f t="shared" si="4"/>
        <v>532.519912</v>
      </c>
      <c r="Z374" s="80">
        <f t="shared" si="5"/>
        <v>0.1143335435</v>
      </c>
      <c r="AA374" s="81">
        <f t="shared" si="6"/>
        <v>0.2760600892</v>
      </c>
      <c r="AB374" s="79">
        <f t="shared" si="7"/>
        <v>646.295513</v>
      </c>
      <c r="AC374" s="80">
        <f t="shared" si="8"/>
        <v>0.1063654324</v>
      </c>
      <c r="AD374" s="81">
        <f t="shared" si="9"/>
        <v>0.3350417382</v>
      </c>
      <c r="AE374" s="74">
        <f>P374*(1-I374)*(1+'参数表'!$C$6)*(W374+X374+H374)*1.1+0.4*1.1</f>
        <v>8.000564</v>
      </c>
      <c r="AF374" s="74">
        <f t="shared" si="10"/>
        <v>10.0939685</v>
      </c>
      <c r="AG374" s="29"/>
    </row>
    <row r="375">
      <c r="A375" s="51" t="s">
        <v>1222</v>
      </c>
      <c r="B375" s="29"/>
      <c r="C375" s="60" t="s">
        <v>1223</v>
      </c>
      <c r="D375" s="42" t="s">
        <v>61</v>
      </c>
      <c r="E375" s="42" t="s">
        <v>367</v>
      </c>
      <c r="F375" s="29"/>
      <c r="G375" s="67" t="s">
        <v>1224</v>
      </c>
      <c r="H375" s="68">
        <v>0.05</v>
      </c>
      <c r="I375" s="68">
        <v>0.0</v>
      </c>
      <c r="J375" s="69">
        <v>1877.0</v>
      </c>
      <c r="K375" s="70">
        <v>120.0</v>
      </c>
      <c r="L375" s="16">
        <v>19.0</v>
      </c>
      <c r="M375" s="16">
        <v>14.0</v>
      </c>
      <c r="N375" s="16">
        <v>3.0</v>
      </c>
      <c r="O375" s="73">
        <f t="shared" si="14"/>
        <v>120</v>
      </c>
      <c r="P375" s="72">
        <v>32.6</v>
      </c>
      <c r="Q375" s="73">
        <f t="array" ref="Q375">XLOOKUP(K375/1000, '运费（邮政）'!$A$2:$A$21, '运费（邮政）'!$B$2:$B$21, "超出范围", 1)</f>
        <v>1060</v>
      </c>
      <c r="R375" s="72">
        <v>9.99</v>
      </c>
      <c r="S375" s="74">
        <f t="shared" si="2"/>
        <v>7.074938873</v>
      </c>
      <c r="T375" s="75">
        <f t="shared" si="3"/>
        <v>42.59</v>
      </c>
      <c r="U375" s="76">
        <f t="array" ref="U375">XLOOKUP(O375/1000, '运费（橙联）'!$A$2:$A$57, '运费（橙联）'!$B$2:$B$57, "超出范围", 1)</f>
        <v>1367</v>
      </c>
      <c r="V375" s="77">
        <f>(P375*'参数表'!$C$2*(1+'参数表'!$C$3))*$B$1+'参数表'!$C$4</f>
        <v>697.64132</v>
      </c>
      <c r="W375" s="68">
        <v>0.127</v>
      </c>
      <c r="X375" s="78">
        <v>0.0135</v>
      </c>
      <c r="Y375" s="79">
        <f t="shared" si="4"/>
        <v>562.666254</v>
      </c>
      <c r="Z375" s="80">
        <f t="shared" si="5"/>
        <v>0.1215471904</v>
      </c>
      <c r="AA375" s="81">
        <f t="shared" si="6"/>
        <v>0.2997689153</v>
      </c>
      <c r="AB375" s="79">
        <f t="shared" si="7"/>
        <v>679.341495</v>
      </c>
      <c r="AC375" s="80">
        <f t="shared" si="8"/>
        <v>0.1123290687</v>
      </c>
      <c r="AD375" s="81">
        <f t="shared" si="9"/>
        <v>0.361929406</v>
      </c>
      <c r="AE375" s="74">
        <f>P375*(1-I375)*(1+'参数表'!$C$6)*(W375+X375+H375)*1.1+0.4*1.1</f>
        <v>7.954463</v>
      </c>
      <c r="AF375" s="74">
        <f t="shared" si="10"/>
        <v>10.0478675</v>
      </c>
      <c r="AG375" s="29"/>
    </row>
    <row r="376">
      <c r="A376" s="51" t="s">
        <v>1225</v>
      </c>
      <c r="B376" s="29"/>
      <c r="C376" s="60" t="s">
        <v>1226</v>
      </c>
      <c r="D376" s="42" t="s">
        <v>61</v>
      </c>
      <c r="E376" s="42" t="s">
        <v>89</v>
      </c>
      <c r="F376" s="29"/>
      <c r="G376" s="57" t="s">
        <v>1227</v>
      </c>
      <c r="H376" s="68">
        <v>0.05</v>
      </c>
      <c r="I376" s="68">
        <v>0.0</v>
      </c>
      <c r="J376" s="69">
        <v>1877.0</v>
      </c>
      <c r="K376" s="70">
        <v>120.0</v>
      </c>
      <c r="L376" s="16">
        <v>19.0</v>
      </c>
      <c r="M376" s="16">
        <v>14.0</v>
      </c>
      <c r="N376" s="16">
        <v>3.0</v>
      </c>
      <c r="O376" s="73">
        <f t="shared" si="14"/>
        <v>120</v>
      </c>
      <c r="P376" s="72">
        <v>32.6</v>
      </c>
      <c r="Q376" s="73">
        <f t="array" ref="Q376">XLOOKUP(K376/1000, '运费（邮政）'!$A$2:$A$21, '运费（邮政）'!$B$2:$B$21, "超出范围", 1)</f>
        <v>1060</v>
      </c>
      <c r="R376" s="72">
        <v>9.99</v>
      </c>
      <c r="S376" s="74">
        <f t="shared" si="2"/>
        <v>7.074938873</v>
      </c>
      <c r="T376" s="75">
        <f t="shared" si="3"/>
        <v>42.59</v>
      </c>
      <c r="U376" s="76">
        <f t="array" ref="U376">XLOOKUP(O376/1000, '运费（橙联）'!$A$2:$A$57, '运费（橙联）'!$B$2:$B$57, "超出范围", 1)</f>
        <v>1367</v>
      </c>
      <c r="V376" s="77">
        <f>(P376*'参数表'!$C$2*(1+'参数表'!$C$3))*$B$1+'参数表'!$C$4</f>
        <v>697.64132</v>
      </c>
      <c r="W376" s="68">
        <v>0.127</v>
      </c>
      <c r="X376" s="78">
        <v>0.0135</v>
      </c>
      <c r="Y376" s="79">
        <f t="shared" si="4"/>
        <v>562.666254</v>
      </c>
      <c r="Z376" s="80">
        <f t="shared" si="5"/>
        <v>0.1215471904</v>
      </c>
      <c r="AA376" s="81">
        <f t="shared" si="6"/>
        <v>0.2997689153</v>
      </c>
      <c r="AB376" s="79">
        <f t="shared" si="7"/>
        <v>679.341495</v>
      </c>
      <c r="AC376" s="80">
        <f t="shared" si="8"/>
        <v>0.1123290687</v>
      </c>
      <c r="AD376" s="81">
        <f t="shared" si="9"/>
        <v>0.361929406</v>
      </c>
      <c r="AE376" s="74">
        <f>P376*(1-I376)*(1+'参数表'!$C$6)*(W376+X376+H376)*1.1+0.4*1.1</f>
        <v>7.954463</v>
      </c>
      <c r="AF376" s="74">
        <f t="shared" si="10"/>
        <v>10.0478675</v>
      </c>
      <c r="AG376" s="29"/>
    </row>
    <row r="377">
      <c r="A377" s="51" t="s">
        <v>1228</v>
      </c>
      <c r="B377" s="29"/>
      <c r="C377" s="60" t="s">
        <v>1229</v>
      </c>
      <c r="D377" s="42" t="s">
        <v>61</v>
      </c>
      <c r="E377" s="42" t="s">
        <v>367</v>
      </c>
      <c r="F377" s="29"/>
      <c r="G377" s="67"/>
      <c r="H377" s="68">
        <v>0.05</v>
      </c>
      <c r="I377" s="68">
        <v>0.0</v>
      </c>
      <c r="J377" s="69">
        <v>1628.0</v>
      </c>
      <c r="K377" s="70">
        <v>120.0</v>
      </c>
      <c r="L377" s="16">
        <v>19.0</v>
      </c>
      <c r="M377" s="16">
        <v>14.0</v>
      </c>
      <c r="N377" s="16">
        <v>3.0</v>
      </c>
      <c r="O377" s="73">
        <f t="shared" si="14"/>
        <v>120</v>
      </c>
      <c r="P377" s="72">
        <v>30.8</v>
      </c>
      <c r="Q377" s="73">
        <f t="array" ref="Q377">XLOOKUP(K377/1000, '运费（邮政）'!$A$2:$A$21, '运费（邮政）'!$B$2:$B$21, "超出范围", 1)</f>
        <v>1060</v>
      </c>
      <c r="R377" s="72">
        <v>9.99</v>
      </c>
      <c r="S377" s="74">
        <f t="shared" si="2"/>
        <v>6.891158873</v>
      </c>
      <c r="T377" s="75">
        <f t="shared" si="3"/>
        <v>40.79</v>
      </c>
      <c r="U377" s="76">
        <f t="array" ref="U377">XLOOKUP(O377/1000, '运费（橙联）'!$A$2:$A$57, '运费（橙联）'!$B$2:$B$57, "超出范围", 1)</f>
        <v>1367</v>
      </c>
      <c r="V377" s="77">
        <f>(P377*'参数表'!$C$2*(1+'参数表'!$C$3))*$B$1+'参数表'!$C$4</f>
        <v>671.54456</v>
      </c>
      <c r="W377" s="68">
        <v>0.127</v>
      </c>
      <c r="X377" s="78">
        <v>0.0135</v>
      </c>
      <c r="Y377" s="79">
        <f t="shared" si="4"/>
        <v>614.983332</v>
      </c>
      <c r="Z377" s="80">
        <f t="shared" si="5"/>
        <v>0.1406126148</v>
      </c>
      <c r="AA377" s="81">
        <f t="shared" si="6"/>
        <v>0.3777538894</v>
      </c>
      <c r="AB377" s="79">
        <f t="shared" si="7"/>
        <v>757.755333</v>
      </c>
      <c r="AC377" s="80">
        <f t="shared" si="8"/>
        <v>0.1308238579</v>
      </c>
      <c r="AD377" s="81">
        <f t="shared" si="9"/>
        <v>0.4654516787</v>
      </c>
      <c r="AE377" s="74">
        <f>P377*(1-I377)*(1+'参数表'!$C$6)*(W377+X377+H377)*1.1+0.4*1.1</f>
        <v>7.539554</v>
      </c>
      <c r="AF377" s="74">
        <f t="shared" si="10"/>
        <v>9.6329585</v>
      </c>
      <c r="AG377" s="29"/>
    </row>
    <row r="378">
      <c r="A378" s="51" t="s">
        <v>1230</v>
      </c>
      <c r="B378" s="29"/>
      <c r="C378" s="60" t="s">
        <v>1231</v>
      </c>
      <c r="D378" s="42" t="s">
        <v>61</v>
      </c>
      <c r="E378" s="42" t="s">
        <v>89</v>
      </c>
      <c r="F378" s="29"/>
      <c r="G378" s="67" t="s">
        <v>1232</v>
      </c>
      <c r="H378" s="68">
        <v>0.05</v>
      </c>
      <c r="I378" s="68">
        <v>0.0</v>
      </c>
      <c r="J378" s="69">
        <v>1160.0</v>
      </c>
      <c r="K378" s="70">
        <v>120.0</v>
      </c>
      <c r="L378" s="16">
        <v>19.0</v>
      </c>
      <c r="M378" s="16">
        <v>14.0</v>
      </c>
      <c r="N378" s="16">
        <v>3.0</v>
      </c>
      <c r="O378" s="73">
        <f t="shared" si="14"/>
        <v>120</v>
      </c>
      <c r="P378" s="72">
        <v>24.8</v>
      </c>
      <c r="Q378" s="73">
        <f t="array" ref="Q378">XLOOKUP(K378/1000, '运费（邮政）'!$A$2:$A$21, '运费（邮政）'!$B$2:$B$21, "超出范围", 1)</f>
        <v>1060</v>
      </c>
      <c r="R378" s="72">
        <v>9.99</v>
      </c>
      <c r="S378" s="74">
        <f t="shared" si="2"/>
        <v>6.278558873</v>
      </c>
      <c r="T378" s="75">
        <f t="shared" si="3"/>
        <v>34.79</v>
      </c>
      <c r="U378" s="76">
        <f t="array" ref="U378">XLOOKUP(O378/1000, '运费（橙联）'!$A$2:$A$57, '运费（橙联）'!$B$2:$B$57, "超出范围", 1)</f>
        <v>1367</v>
      </c>
      <c r="V378" s="77">
        <f>(P378*'参数表'!$C$2*(1+'参数表'!$C$3))*$B$1+'参数表'!$C$4</f>
        <v>584.55536</v>
      </c>
      <c r="W378" s="68">
        <v>0.127</v>
      </c>
      <c r="X378" s="78">
        <v>0.0135</v>
      </c>
      <c r="Y378" s="79">
        <f t="shared" si="4"/>
        <v>427.373592</v>
      </c>
      <c r="Z378" s="80">
        <f t="shared" si="5"/>
        <v>0.1213577896</v>
      </c>
      <c r="AA378" s="81">
        <f t="shared" si="6"/>
        <v>0.3684255103</v>
      </c>
      <c r="AB378" s="79">
        <f t="shared" si="7"/>
        <v>657.134793</v>
      </c>
      <c r="AC378" s="80">
        <f t="shared" si="8"/>
        <v>0.1330183906</v>
      </c>
      <c r="AD378" s="81">
        <f t="shared" si="9"/>
        <v>0.5664955112</v>
      </c>
      <c r="AE378" s="74">
        <f>P378*(1-I378)*(1+'参数表'!$C$6)*(W378+X378+H378)*1.1+0.4*1.1</f>
        <v>6.156524</v>
      </c>
      <c r="AF378" s="74">
        <f t="shared" si="10"/>
        <v>8.2499285</v>
      </c>
      <c r="AG378" s="29"/>
    </row>
    <row r="379">
      <c r="A379" s="51" t="s">
        <v>1233</v>
      </c>
      <c r="B379" s="29"/>
      <c r="C379" s="60" t="s">
        <v>1234</v>
      </c>
      <c r="D379" s="42" t="s">
        <v>61</v>
      </c>
      <c r="E379" s="42" t="s">
        <v>591</v>
      </c>
      <c r="F379" s="29"/>
      <c r="G379" s="57" t="s">
        <v>1235</v>
      </c>
      <c r="H379" s="68">
        <v>0.05</v>
      </c>
      <c r="I379" s="68">
        <v>0.0</v>
      </c>
      <c r="J379" s="69">
        <v>3031.0</v>
      </c>
      <c r="K379" s="70">
        <v>120.0</v>
      </c>
      <c r="L379" s="16">
        <v>19.0</v>
      </c>
      <c r="M379" s="16">
        <v>14.0</v>
      </c>
      <c r="N379" s="16">
        <v>3.0</v>
      </c>
      <c r="O379" s="73">
        <f t="shared" si="14"/>
        <v>120</v>
      </c>
      <c r="P379" s="72">
        <v>46.8</v>
      </c>
      <c r="Q379" s="73">
        <f t="array" ref="Q379">XLOOKUP(K379/1000, '运费（邮政）'!$A$2:$A$21, '运费（邮政）'!$B$2:$B$21, "超出范围", 1)</f>
        <v>1060</v>
      </c>
      <c r="R379" s="72">
        <v>12.99</v>
      </c>
      <c r="S379" s="74">
        <f t="shared" si="2"/>
        <v>8.524758873</v>
      </c>
      <c r="T379" s="75">
        <f t="shared" si="3"/>
        <v>59.79</v>
      </c>
      <c r="U379" s="76">
        <f t="array" ref="U379">XLOOKUP(O379/1000, '运费（橙联）'!$A$2:$A$57, '运费（橙联）'!$B$2:$B$57, "超出范围", 1)</f>
        <v>1367</v>
      </c>
      <c r="V379" s="77">
        <f>(P379*'参数表'!$C$2*(1+'参数表'!$C$3))*$B$1+'参数表'!$C$4</f>
        <v>903.51576</v>
      </c>
      <c r="W379" s="68">
        <v>0.127</v>
      </c>
      <c r="X379" s="78">
        <v>0.0135</v>
      </c>
      <c r="Y379" s="79">
        <f t="shared" si="4"/>
        <v>960.275972</v>
      </c>
      <c r="Z379" s="80">
        <f t="shared" si="5"/>
        <v>0.1444980095</v>
      </c>
      <c r="AA379" s="81">
        <f t="shared" si="6"/>
        <v>0.3168182026</v>
      </c>
      <c r="AB379" s="79">
        <f t="shared" si="7"/>
        <v>1207.808473</v>
      </c>
      <c r="AC379" s="80">
        <f t="shared" si="8"/>
        <v>0.142259466</v>
      </c>
      <c r="AD379" s="81">
        <f t="shared" si="9"/>
        <v>0.3984851445</v>
      </c>
      <c r="AE379" s="74">
        <f>P379*(1-I379)*(1+'参数表'!$C$6)*(W379+X379+H379)*1.1+0.4*1.1</f>
        <v>11.227634</v>
      </c>
      <c r="AF379" s="74">
        <f t="shared" si="10"/>
        <v>13.9496885</v>
      </c>
      <c r="AG379" s="29"/>
    </row>
    <row r="380">
      <c r="A380" s="51" t="s">
        <v>1236</v>
      </c>
      <c r="B380" s="51" t="s">
        <v>1237</v>
      </c>
      <c r="C380" s="60" t="s">
        <v>1238</v>
      </c>
      <c r="D380" s="42" t="s">
        <v>61</v>
      </c>
      <c r="E380" s="29"/>
      <c r="F380" s="29"/>
      <c r="G380" s="67" t="s">
        <v>1239</v>
      </c>
      <c r="H380" s="68">
        <v>0.05</v>
      </c>
      <c r="I380" s="68">
        <v>0.0</v>
      </c>
      <c r="J380" s="69">
        <v>75000.0</v>
      </c>
      <c r="K380" s="70">
        <v>13000.0</v>
      </c>
      <c r="L380" s="82">
        <v>52.0</v>
      </c>
      <c r="M380" s="82">
        <v>45.0</v>
      </c>
      <c r="N380" s="82">
        <v>40.0</v>
      </c>
      <c r="O380" s="73">
        <f t="shared" si="14"/>
        <v>13000</v>
      </c>
      <c r="P380" s="72">
        <v>759.0</v>
      </c>
      <c r="Q380" s="73" t="str">
        <f t="array" ref="Q380">XLOOKUP(K380/1000, '运费（邮政）'!$A$2:$A$21, '运费（邮政）'!$B$2:$B$21, "超出范围", 1)</f>
        <v>超出范围</v>
      </c>
      <c r="R380" s="72">
        <v>320.0</v>
      </c>
      <c r="S380" s="74" t="str">
        <f t="shared" si="2"/>
        <v>#VALUE!</v>
      </c>
      <c r="T380" s="75">
        <f t="shared" si="3"/>
        <v>1079</v>
      </c>
      <c r="U380" s="76">
        <f t="array" ref="U380">XLOOKUP(O380/1000, '运费（橙联）'!$A$2:$A$57, '运费（橙联）'!$B$2:$B$57, "超出范围", 1)</f>
        <v>16412</v>
      </c>
      <c r="V380" s="77">
        <f>(P380*'参数表'!$C$2*(1+'参数表'!$C$3))*$B$1+'参数表'!$C$4</f>
        <v>11229.1338</v>
      </c>
      <c r="W380" s="68">
        <v>0.127</v>
      </c>
      <c r="X380" s="78">
        <v>0.0135</v>
      </c>
      <c r="Y380" s="79" t="str">
        <f t="shared" si="4"/>
        <v>#VALUE!</v>
      </c>
      <c r="Z380" s="80" t="str">
        <f t="shared" si="5"/>
        <v>#VALUE!</v>
      </c>
      <c r="AA380" s="81" t="str">
        <f t="shared" si="6"/>
        <v>#VALUE!</v>
      </c>
      <c r="AB380" s="79">
        <f t="shared" si="7"/>
        <v>16149.06631</v>
      </c>
      <c r="AC380" s="80">
        <f t="shared" si="8"/>
        <v>0.1053992763</v>
      </c>
      <c r="AD380" s="81">
        <f t="shared" si="9"/>
        <v>0.2153208841</v>
      </c>
      <c r="AE380" s="74">
        <f>P380*(1-I380)*(1+'参数表'!$C$6)*(W380+X380+H380)*1.1+0.4*1.1</f>
        <v>175.393295</v>
      </c>
      <c r="AF380" s="74">
        <f t="shared" si="10"/>
        <v>242.449295</v>
      </c>
      <c r="AG380" s="29"/>
    </row>
    <row r="381">
      <c r="A381" s="51" t="s">
        <v>1240</v>
      </c>
      <c r="B381" s="29"/>
      <c r="C381" s="60" t="s">
        <v>1241</v>
      </c>
      <c r="D381" s="42" t="s">
        <v>61</v>
      </c>
      <c r="E381" s="42" t="s">
        <v>367</v>
      </c>
      <c r="F381" s="29"/>
      <c r="G381" s="67" t="s">
        <v>1242</v>
      </c>
      <c r="H381" s="68">
        <v>0.05</v>
      </c>
      <c r="I381" s="68">
        <v>0.0</v>
      </c>
      <c r="J381" s="69">
        <v>2495.0</v>
      </c>
      <c r="K381" s="70">
        <v>120.0</v>
      </c>
      <c r="L381" s="16">
        <v>19.0</v>
      </c>
      <c r="M381" s="16">
        <v>14.0</v>
      </c>
      <c r="N381" s="16">
        <v>3.0</v>
      </c>
      <c r="O381" s="73">
        <f t="shared" si="14"/>
        <v>120</v>
      </c>
      <c r="P381" s="72">
        <v>39.5</v>
      </c>
      <c r="Q381" s="73">
        <f t="array" ref="Q381">XLOOKUP(K381/1000, '运费（邮政）'!$A$2:$A$21, '运费（邮政）'!$B$2:$B$21, "超出范围", 1)</f>
        <v>1060</v>
      </c>
      <c r="R381" s="72">
        <v>9.99</v>
      </c>
      <c r="S381" s="74">
        <f t="shared" si="2"/>
        <v>7.779428873</v>
      </c>
      <c r="T381" s="75">
        <f t="shared" si="3"/>
        <v>49.49</v>
      </c>
      <c r="U381" s="76">
        <f t="array" ref="U381">XLOOKUP(O381/1000, '运费（橙联）'!$A$2:$A$57, '运费（橙联）'!$B$2:$B$57, "超出范围", 1)</f>
        <v>1367</v>
      </c>
      <c r="V381" s="77">
        <f>(P381*'参数表'!$C$2*(1+'参数表'!$C$3))*$B$1+'参数表'!$C$4</f>
        <v>797.6789</v>
      </c>
      <c r="W381" s="68">
        <v>0.127</v>
      </c>
      <c r="X381" s="78">
        <v>0.0135</v>
      </c>
      <c r="Y381" s="79">
        <f t="shared" si="4"/>
        <v>698.617455</v>
      </c>
      <c r="Z381" s="80">
        <f t="shared" si="5"/>
        <v>0.1245529426</v>
      </c>
      <c r="AA381" s="81">
        <f t="shared" si="6"/>
        <v>0.280006996</v>
      </c>
      <c r="AB381" s="79">
        <f t="shared" si="7"/>
        <v>715.255116</v>
      </c>
      <c r="AC381" s="80">
        <f t="shared" si="8"/>
        <v>0.1017782958</v>
      </c>
      <c r="AD381" s="81">
        <f t="shared" si="9"/>
        <v>0.2866753972</v>
      </c>
      <c r="AE381" s="74">
        <f>P381*(1-I381)*(1+'参数表'!$C$6)*(W381+X381+H381)*1.1+0.4*1.1</f>
        <v>9.5449475</v>
      </c>
      <c r="AF381" s="74">
        <f t="shared" si="10"/>
        <v>11.638352</v>
      </c>
      <c r="AG381" s="29"/>
    </row>
    <row r="382">
      <c r="A382" s="51" t="s">
        <v>1243</v>
      </c>
      <c r="B382" s="29"/>
      <c r="C382" s="60" t="s">
        <v>1244</v>
      </c>
      <c r="D382" s="42" t="s">
        <v>61</v>
      </c>
      <c r="E382" s="42" t="s">
        <v>367</v>
      </c>
      <c r="F382" s="29"/>
      <c r="G382" s="67" t="s">
        <v>1245</v>
      </c>
      <c r="H382" s="68">
        <v>0.05</v>
      </c>
      <c r="I382" s="68">
        <v>0.0</v>
      </c>
      <c r="J382" s="69">
        <v>3174.0</v>
      </c>
      <c r="K382" s="70">
        <v>120.0</v>
      </c>
      <c r="L382" s="16">
        <v>19.0</v>
      </c>
      <c r="M382" s="16">
        <v>14.0</v>
      </c>
      <c r="N382" s="16">
        <v>3.0</v>
      </c>
      <c r="O382" s="73">
        <f t="shared" si="14"/>
        <v>120</v>
      </c>
      <c r="P382" s="72">
        <v>47.8</v>
      </c>
      <c r="Q382" s="73">
        <f t="array" ref="Q382">XLOOKUP(K382/1000, '运费（邮政）'!$A$2:$A$21, '运费（邮政）'!$B$2:$B$21, "超出范围", 1)</f>
        <v>1060</v>
      </c>
      <c r="R382" s="72">
        <v>12.99</v>
      </c>
      <c r="S382" s="74">
        <f t="shared" si="2"/>
        <v>8.626858873</v>
      </c>
      <c r="T382" s="75">
        <f t="shared" si="3"/>
        <v>60.79</v>
      </c>
      <c r="U382" s="76">
        <f t="array" ref="U382">XLOOKUP(O382/1000, '运费（橙联）'!$A$2:$A$57, '运费（橙联）'!$B$2:$B$57, "超出范围", 1)</f>
        <v>1367</v>
      </c>
      <c r="V382" s="77">
        <f>(P382*'参数表'!$C$2*(1+'参数表'!$C$3))*$B$1+'参数表'!$C$4</f>
        <v>918.01396</v>
      </c>
      <c r="W382" s="68">
        <v>0.127</v>
      </c>
      <c r="X382" s="78">
        <v>0.0135</v>
      </c>
      <c r="Y382" s="79">
        <f t="shared" si="4"/>
        <v>926.544262</v>
      </c>
      <c r="Z382" s="80">
        <f t="shared" si="5"/>
        <v>0.1365054308</v>
      </c>
      <c r="AA382" s="81">
        <f t="shared" si="6"/>
        <v>0.2919169067</v>
      </c>
      <c r="AB382" s="79">
        <f t="shared" si="7"/>
        <v>1159.578563</v>
      </c>
      <c r="AC382" s="80">
        <f t="shared" si="8"/>
        <v>0.1343320648</v>
      </c>
      <c r="AD382" s="81">
        <f t="shared" si="9"/>
        <v>0.3653366613</v>
      </c>
      <c r="AE382" s="74">
        <f>P382*(1-I382)*(1+'参数表'!$C$6)*(W382+X382+H382)*1.1+0.4*1.1</f>
        <v>11.458139</v>
      </c>
      <c r="AF382" s="74">
        <f t="shared" si="10"/>
        <v>14.1801935</v>
      </c>
      <c r="AG382" s="29"/>
    </row>
    <row r="383">
      <c r="A383" s="51" t="s">
        <v>1243</v>
      </c>
      <c r="B383" s="29"/>
      <c r="C383" s="60" t="s">
        <v>1246</v>
      </c>
      <c r="D383" s="42" t="s">
        <v>61</v>
      </c>
      <c r="E383" s="42" t="s">
        <v>367</v>
      </c>
      <c r="F383" s="29"/>
      <c r="G383" s="67" t="s">
        <v>1247</v>
      </c>
      <c r="H383" s="68">
        <v>0.05</v>
      </c>
      <c r="I383" s="68">
        <v>0.0</v>
      </c>
      <c r="J383" s="69">
        <v>3752.0</v>
      </c>
      <c r="K383" s="70">
        <v>120.0</v>
      </c>
      <c r="L383" s="16">
        <v>19.0</v>
      </c>
      <c r="M383" s="16">
        <v>14.0</v>
      </c>
      <c r="N383" s="16">
        <v>3.0</v>
      </c>
      <c r="O383" s="73">
        <f t="shared" si="14"/>
        <v>120</v>
      </c>
      <c r="P383" s="72">
        <v>53.8</v>
      </c>
      <c r="Q383" s="73">
        <f t="array" ref="Q383">XLOOKUP(K383/1000, '运费（邮政）'!$A$2:$A$21, '运费（邮政）'!$B$2:$B$21, "超出范围", 1)</f>
        <v>1060</v>
      </c>
      <c r="R383" s="72">
        <v>12.99</v>
      </c>
      <c r="S383" s="74">
        <f t="shared" si="2"/>
        <v>9.239458873</v>
      </c>
      <c r="T383" s="75">
        <f t="shared" si="3"/>
        <v>66.79</v>
      </c>
      <c r="U383" s="76">
        <f t="array" ref="U383">XLOOKUP(O383/1000, '运费（橙联）'!$A$2:$A$57, '运费（橙联）'!$B$2:$B$57, "超出范围", 1)</f>
        <v>1367</v>
      </c>
      <c r="V383" s="77">
        <f>(P383*'参数表'!$C$2*(1+'参数表'!$C$3))*$B$1+'参数表'!$C$4</f>
        <v>1005.00316</v>
      </c>
      <c r="W383" s="68">
        <v>0.127</v>
      </c>
      <c r="X383" s="78">
        <v>0.0135</v>
      </c>
      <c r="Y383" s="79">
        <f t="shared" si="4"/>
        <v>1004.154002</v>
      </c>
      <c r="Z383" s="80">
        <f t="shared" si="5"/>
        <v>0.1314406516</v>
      </c>
      <c r="AA383" s="81">
        <f t="shared" si="6"/>
        <v>0.2676316636</v>
      </c>
      <c r="AB383" s="79">
        <f t="shared" si="7"/>
        <v>1150.199103</v>
      </c>
      <c r="AC383" s="80">
        <f t="shared" si="8"/>
        <v>0.1212755455</v>
      </c>
      <c r="AD383" s="81">
        <f t="shared" si="9"/>
        <v>0.3065562641</v>
      </c>
      <c r="AE383" s="74">
        <f>P383*(1-I383)*(1+'参数表'!$C$6)*(W383+X383+H383)*1.1+0.4*1.1</f>
        <v>12.841169</v>
      </c>
      <c r="AF383" s="74">
        <f t="shared" si="10"/>
        <v>15.5632235</v>
      </c>
      <c r="AG383" s="29"/>
    </row>
    <row r="384">
      <c r="A384" s="51" t="s">
        <v>1248</v>
      </c>
      <c r="B384" s="29"/>
      <c r="C384" s="60" t="s">
        <v>1249</v>
      </c>
      <c r="D384" s="42" t="s">
        <v>61</v>
      </c>
      <c r="E384" s="42" t="s">
        <v>482</v>
      </c>
      <c r="F384" s="29"/>
      <c r="G384" s="67" t="s">
        <v>1250</v>
      </c>
      <c r="H384" s="68">
        <v>0.05</v>
      </c>
      <c r="I384" s="68">
        <v>0.0</v>
      </c>
      <c r="J384" s="69">
        <v>1039.0</v>
      </c>
      <c r="K384" s="70">
        <v>120.0</v>
      </c>
      <c r="L384" s="16">
        <v>19.0</v>
      </c>
      <c r="M384" s="16">
        <v>14.0</v>
      </c>
      <c r="N384" s="16">
        <v>3.0</v>
      </c>
      <c r="O384" s="73">
        <f t="shared" si="14"/>
        <v>120</v>
      </c>
      <c r="P384" s="72">
        <v>23.8</v>
      </c>
      <c r="Q384" s="73">
        <f t="array" ref="Q384">XLOOKUP(K384/1000, '运费（邮政）'!$A$2:$A$21, '运费（邮政）'!$B$2:$B$21, "超出范围", 1)</f>
        <v>1060</v>
      </c>
      <c r="R384" s="72">
        <v>9.99</v>
      </c>
      <c r="S384" s="74">
        <f t="shared" si="2"/>
        <v>6.176458873</v>
      </c>
      <c r="T384" s="75">
        <f t="shared" si="3"/>
        <v>33.79</v>
      </c>
      <c r="U384" s="76">
        <f t="array" ref="U384">XLOOKUP(O384/1000, '运费（橙联）'!$A$2:$A$57, '运费（橙联）'!$B$2:$B$57, "超出范围", 1)</f>
        <v>1367</v>
      </c>
      <c r="V384" s="77">
        <f>(P384*'参数表'!$C$2*(1+'参数表'!$C$3))*$B$1+'参数表'!$C$4</f>
        <v>570.05716</v>
      </c>
      <c r="W384" s="68">
        <v>0.127</v>
      </c>
      <c r="X384" s="78">
        <v>0.0135</v>
      </c>
      <c r="Y384" s="79">
        <f t="shared" si="4"/>
        <v>439.105302</v>
      </c>
      <c r="Z384" s="80">
        <f t="shared" si="5"/>
        <v>0.1299281874</v>
      </c>
      <c r="AA384" s="81">
        <f t="shared" si="6"/>
        <v>0.4226230048</v>
      </c>
      <c r="AB384" s="79">
        <f t="shared" si="7"/>
        <v>683.364703</v>
      </c>
      <c r="AC384" s="80">
        <f t="shared" si="8"/>
        <v>0.142421648</v>
      </c>
      <c r="AD384" s="81">
        <f t="shared" si="9"/>
        <v>0.6577138624</v>
      </c>
      <c r="AE384" s="74">
        <f>P384*(1-I384)*(1+'参数表'!$C$6)*(W384+X384+H384)*1.1+0.4*1.1</f>
        <v>5.926019</v>
      </c>
      <c r="AF384" s="74">
        <f t="shared" si="10"/>
        <v>8.0194235</v>
      </c>
      <c r="AG384" s="29"/>
    </row>
    <row r="385">
      <c r="A385" s="51" t="s">
        <v>1251</v>
      </c>
      <c r="B385" s="29"/>
      <c r="C385" s="60" t="s">
        <v>1252</v>
      </c>
      <c r="D385" s="42" t="s">
        <v>61</v>
      </c>
      <c r="E385" s="42" t="s">
        <v>603</v>
      </c>
      <c r="F385" s="29"/>
      <c r="G385" s="67" t="s">
        <v>1253</v>
      </c>
      <c r="H385" s="68">
        <v>0.05</v>
      </c>
      <c r="I385" s="68">
        <v>0.0</v>
      </c>
      <c r="J385" s="69">
        <v>5665.0</v>
      </c>
      <c r="K385" s="70">
        <v>120.0</v>
      </c>
      <c r="L385" s="16">
        <v>19.0</v>
      </c>
      <c r="M385" s="16">
        <v>14.0</v>
      </c>
      <c r="N385" s="16">
        <v>3.0</v>
      </c>
      <c r="O385" s="73">
        <f t="shared" si="14"/>
        <v>120</v>
      </c>
      <c r="P385" s="72">
        <v>78.8</v>
      </c>
      <c r="Q385" s="73">
        <f t="array" ref="Q385">XLOOKUP(K385/1000, '运费（邮政）'!$A$2:$A$21, '运费（邮政）'!$B$2:$B$21, "超出范围", 1)</f>
        <v>1060</v>
      </c>
      <c r="R385" s="72">
        <v>15.99</v>
      </c>
      <c r="S385" s="74">
        <f t="shared" si="2"/>
        <v>11.79195887</v>
      </c>
      <c r="T385" s="75">
        <f t="shared" si="3"/>
        <v>94.79</v>
      </c>
      <c r="U385" s="76">
        <f t="array" ref="U385">XLOOKUP(O385/1000, '运费（橙联）'!$A$2:$A$57, '运费（橙联）'!$B$2:$B$57, "超出范围", 1)</f>
        <v>1367</v>
      </c>
      <c r="V385" s="77">
        <f>(P385*'参数表'!$C$2*(1+'参数表'!$C$3))*$B$1+'参数表'!$C$4</f>
        <v>1367.45816</v>
      </c>
      <c r="W385" s="68">
        <v>0.127</v>
      </c>
      <c r="X385" s="78">
        <v>0.0135</v>
      </c>
      <c r="Y385" s="79">
        <f t="shared" si="4"/>
        <v>1822.861252</v>
      </c>
      <c r="Z385" s="80">
        <f t="shared" si="5"/>
        <v>0.1629067395</v>
      </c>
      <c r="AA385" s="81">
        <f t="shared" si="6"/>
        <v>0.3217760374</v>
      </c>
      <c r="AB385" s="79">
        <f t="shared" si="7"/>
        <v>1943.183053</v>
      </c>
      <c r="AC385" s="80">
        <f t="shared" si="8"/>
        <v>0.1443653096</v>
      </c>
      <c r="AD385" s="81">
        <f t="shared" si="9"/>
        <v>0.3430155433</v>
      </c>
      <c r="AE385" s="74">
        <f>P385*(1-I385)*(1+'参数表'!$C$6)*(W385+X385+H385)*1.1+0.4*1.1</f>
        <v>18.603794</v>
      </c>
      <c r="AF385" s="74">
        <f t="shared" si="10"/>
        <v>21.9544985</v>
      </c>
      <c r="AG385" s="29"/>
    </row>
    <row r="386">
      <c r="A386" s="51" t="s">
        <v>1254</v>
      </c>
      <c r="B386" s="29"/>
      <c r="C386" s="60" t="s">
        <v>1255</v>
      </c>
      <c r="D386" s="42" t="s">
        <v>61</v>
      </c>
      <c r="E386" s="42"/>
      <c r="F386" s="29"/>
      <c r="G386" s="13" t="s">
        <v>1256</v>
      </c>
      <c r="H386" s="68">
        <v>0.05</v>
      </c>
      <c r="I386" s="68">
        <v>0.0</v>
      </c>
      <c r="J386" s="69">
        <v>1619.0</v>
      </c>
      <c r="K386" s="70">
        <v>120.0</v>
      </c>
      <c r="L386" s="16">
        <v>19.0</v>
      </c>
      <c r="M386" s="16">
        <v>14.0</v>
      </c>
      <c r="N386" s="16">
        <v>3.0</v>
      </c>
      <c r="O386" s="73">
        <f t="shared" si="14"/>
        <v>120</v>
      </c>
      <c r="P386" s="72">
        <v>39.8</v>
      </c>
      <c r="Q386" s="73">
        <f t="array" ref="Q386">XLOOKUP(K386/1000, '运费（邮政）'!$A$2:$A$21, '运费（邮政）'!$B$2:$B$21, "超出范围", 1)</f>
        <v>1060</v>
      </c>
      <c r="R386" s="72">
        <v>9.99</v>
      </c>
      <c r="S386" s="74">
        <f t="shared" si="2"/>
        <v>7.810058873</v>
      </c>
      <c r="T386" s="75">
        <f t="shared" si="3"/>
        <v>49.79</v>
      </c>
      <c r="U386" s="76">
        <f t="array" ref="U386">XLOOKUP(O386/1000, '运费（橙联）'!$A$2:$A$57, '运费（橙联）'!$B$2:$B$57, "超出范围", 1)</f>
        <v>1367</v>
      </c>
      <c r="V386" s="77">
        <f>(P386*'参数表'!$C$2*(1+'参数表'!$C$3))*$B$1+'参数表'!$C$4</f>
        <v>802.02836</v>
      </c>
      <c r="W386" s="68">
        <v>0.127</v>
      </c>
      <c r="X386" s="78">
        <v>0.0135</v>
      </c>
      <c r="Y386" s="79">
        <f t="shared" si="4"/>
        <v>1607.397942</v>
      </c>
      <c r="Z386" s="80">
        <f t="shared" si="5"/>
        <v>0.2844146688</v>
      </c>
      <c r="AA386" s="81">
        <f t="shared" si="6"/>
        <v>0.9928338122</v>
      </c>
      <c r="AB386" s="79">
        <f t="shared" si="7"/>
        <v>1619.686143</v>
      </c>
      <c r="AC386" s="80">
        <f t="shared" si="8"/>
        <v>0.2290869742</v>
      </c>
      <c r="AD386" s="81">
        <f t="shared" si="9"/>
        <v>1.000423807</v>
      </c>
      <c r="AE386" s="74">
        <f>P386*(1-I386)*(1+'参数表'!$C$6)*(W386+X386+H386)*1.1+0.4*1.1</f>
        <v>9.614099</v>
      </c>
      <c r="AF386" s="74">
        <f t="shared" si="10"/>
        <v>11.7075035</v>
      </c>
      <c r="AG386" s="29"/>
    </row>
    <row r="387">
      <c r="A387" s="51" t="s">
        <v>1257</v>
      </c>
      <c r="B387" s="29"/>
      <c r="C387" s="60" t="s">
        <v>1258</v>
      </c>
      <c r="D387" s="42" t="s">
        <v>61</v>
      </c>
      <c r="E387" s="42" t="s">
        <v>603</v>
      </c>
      <c r="F387" s="29"/>
      <c r="G387" s="67" t="s">
        <v>1259</v>
      </c>
      <c r="H387" s="68">
        <v>0.05</v>
      </c>
      <c r="I387" s="68">
        <v>0.0</v>
      </c>
      <c r="J387" s="69">
        <v>6088.0</v>
      </c>
      <c r="K387" s="70">
        <v>120.0</v>
      </c>
      <c r="L387" s="16">
        <v>19.0</v>
      </c>
      <c r="M387" s="16">
        <v>14.0</v>
      </c>
      <c r="N387" s="16">
        <v>3.0</v>
      </c>
      <c r="O387" s="73">
        <f t="shared" si="14"/>
        <v>120</v>
      </c>
      <c r="P387" s="72">
        <v>81.5</v>
      </c>
      <c r="Q387" s="73">
        <f t="array" ref="Q387">XLOOKUP(K387/1000, '运费（邮政）'!$A$2:$A$21, '运费（邮政）'!$B$2:$B$21, "超出范围", 1)</f>
        <v>1060</v>
      </c>
      <c r="R387" s="72">
        <v>15.99</v>
      </c>
      <c r="S387" s="74">
        <f t="shared" si="2"/>
        <v>12.06762887</v>
      </c>
      <c r="T387" s="75">
        <f t="shared" si="3"/>
        <v>97.49</v>
      </c>
      <c r="U387" s="76">
        <f t="array" ref="U387">XLOOKUP(O387/1000, '运费（橙联）'!$A$2:$A$57, '运费（橙联）'!$B$2:$B$57, "超出范围", 1)</f>
        <v>1367</v>
      </c>
      <c r="V387" s="77">
        <f>(P387*'参数表'!$C$2*(1+'参数表'!$C$3))*$B$1+'参数表'!$C$4</f>
        <v>1406.6033</v>
      </c>
      <c r="W387" s="68">
        <v>0.127</v>
      </c>
      <c r="X387" s="78">
        <v>0.0135</v>
      </c>
      <c r="Y387" s="79">
        <f t="shared" si="4"/>
        <v>1694.885635</v>
      </c>
      <c r="Z387" s="80">
        <f t="shared" si="5"/>
        <v>0.1464517096</v>
      </c>
      <c r="AA387" s="81">
        <f t="shared" si="6"/>
        <v>0.2783977718</v>
      </c>
      <c r="AB387" s="79">
        <f t="shared" si="7"/>
        <v>1776.062296</v>
      </c>
      <c r="AC387" s="80">
        <f t="shared" si="8"/>
        <v>0.1282950144</v>
      </c>
      <c r="AD387" s="81">
        <f t="shared" si="9"/>
        <v>0.2917316518</v>
      </c>
      <c r="AE387" s="74">
        <f>P387*(1-I387)*(1+'参数表'!$C$6)*(W387+X387+H387)*1.1+0.4*1.1</f>
        <v>19.2261575</v>
      </c>
      <c r="AF387" s="74">
        <f t="shared" si="10"/>
        <v>22.576862</v>
      </c>
      <c r="AG387" s="29"/>
    </row>
    <row r="388">
      <c r="A388" s="51" t="s">
        <v>1260</v>
      </c>
      <c r="B388" s="29"/>
      <c r="C388" s="60" t="s">
        <v>1261</v>
      </c>
      <c r="D388" s="42" t="s">
        <v>61</v>
      </c>
      <c r="E388" s="42" t="s">
        <v>364</v>
      </c>
      <c r="F388" s="29"/>
      <c r="G388" s="67" t="s">
        <v>1262</v>
      </c>
      <c r="H388" s="68">
        <v>0.05</v>
      </c>
      <c r="I388" s="68">
        <v>0.0</v>
      </c>
      <c r="J388" s="69">
        <v>3594.0</v>
      </c>
      <c r="K388" s="70">
        <v>120.0</v>
      </c>
      <c r="L388" s="16">
        <v>19.0</v>
      </c>
      <c r="M388" s="16">
        <v>14.0</v>
      </c>
      <c r="N388" s="16">
        <v>3.0</v>
      </c>
      <c r="O388" s="73">
        <f t="shared" si="14"/>
        <v>120</v>
      </c>
      <c r="P388" s="72">
        <v>52.8</v>
      </c>
      <c r="Q388" s="73">
        <f t="array" ref="Q388">XLOOKUP(K388/1000, '运费（邮政）'!$A$2:$A$21, '运费（邮政）'!$B$2:$B$21, "超出范围", 1)</f>
        <v>1060</v>
      </c>
      <c r="R388" s="72">
        <v>12.99</v>
      </c>
      <c r="S388" s="74">
        <f t="shared" si="2"/>
        <v>9.137358873</v>
      </c>
      <c r="T388" s="75">
        <f t="shared" si="3"/>
        <v>65.79</v>
      </c>
      <c r="U388" s="76">
        <f t="array" ref="U388">XLOOKUP(O388/1000, '运费（橙联）'!$A$2:$A$57, '运费（橙联）'!$B$2:$B$57, "超出范围", 1)</f>
        <v>1367</v>
      </c>
      <c r="V388" s="77">
        <f>(P388*'参数表'!$C$2*(1+'参数表'!$C$3))*$B$1+'参数表'!$C$4</f>
        <v>990.50496</v>
      </c>
      <c r="W388" s="68">
        <v>0.127</v>
      </c>
      <c r="X388" s="78">
        <v>0.0135</v>
      </c>
      <c r="Y388" s="79">
        <f t="shared" si="4"/>
        <v>1052.885712</v>
      </c>
      <c r="Z388" s="80">
        <f t="shared" si="5"/>
        <v>0.1404296991</v>
      </c>
      <c r="AA388" s="81">
        <f t="shared" si="6"/>
        <v>0.2929565142</v>
      </c>
      <c r="AB388" s="79">
        <f t="shared" si="7"/>
        <v>1213.429013</v>
      </c>
      <c r="AC388" s="80">
        <f t="shared" si="8"/>
        <v>0.1298871369</v>
      </c>
      <c r="AD388" s="81">
        <f t="shared" si="9"/>
        <v>0.3376263253</v>
      </c>
      <c r="AE388" s="74">
        <f>P388*(1-I388)*(1+'参数表'!$C$6)*(W388+X388+H388)*1.1+0.4*1.1</f>
        <v>12.610664</v>
      </c>
      <c r="AF388" s="74">
        <f t="shared" si="10"/>
        <v>15.3327185</v>
      </c>
      <c r="AG388" s="29"/>
    </row>
    <row r="389">
      <c r="A389" s="51" t="s">
        <v>1263</v>
      </c>
      <c r="B389" s="29"/>
      <c r="C389" s="60" t="s">
        <v>1264</v>
      </c>
      <c r="D389" s="42" t="s">
        <v>61</v>
      </c>
      <c r="E389" s="42" t="s">
        <v>591</v>
      </c>
      <c r="F389" s="29"/>
      <c r="G389" s="13" t="s">
        <v>1265</v>
      </c>
      <c r="H389" s="68">
        <v>0.05</v>
      </c>
      <c r="I389" s="68">
        <v>0.0</v>
      </c>
      <c r="J389" s="69">
        <v>1012.0</v>
      </c>
      <c r="K389" s="70">
        <v>120.0</v>
      </c>
      <c r="L389" s="16">
        <v>19.0</v>
      </c>
      <c r="M389" s="16">
        <v>14.0</v>
      </c>
      <c r="N389" s="16">
        <v>3.0</v>
      </c>
      <c r="O389" s="73">
        <f t="shared" si="14"/>
        <v>120</v>
      </c>
      <c r="P389" s="72">
        <v>23.8</v>
      </c>
      <c r="Q389" s="73">
        <f t="array" ref="Q389">XLOOKUP(K389/1000, '运费（邮政）'!$A$2:$A$21, '运费（邮政）'!$B$2:$B$21, "超出范围", 1)</f>
        <v>1060</v>
      </c>
      <c r="R389" s="72">
        <v>9.99</v>
      </c>
      <c r="S389" s="74">
        <f t="shared" si="2"/>
        <v>6.176458873</v>
      </c>
      <c r="T389" s="75">
        <f t="shared" si="3"/>
        <v>33.79</v>
      </c>
      <c r="U389" s="76">
        <f t="array" ref="U389">XLOOKUP(O389/1000, '运费（橙联）'!$A$2:$A$57, '运费（橙联）'!$B$2:$B$57, "超出范围", 1)</f>
        <v>1367</v>
      </c>
      <c r="V389" s="77">
        <f>(P389*'参数表'!$C$2*(1+'参数表'!$C$3))*$B$1+'参数表'!$C$4</f>
        <v>570.05716</v>
      </c>
      <c r="W389" s="68">
        <v>0.127</v>
      </c>
      <c r="X389" s="78">
        <v>0.0135</v>
      </c>
      <c r="Y389" s="79">
        <f t="shared" si="4"/>
        <v>466.105302</v>
      </c>
      <c r="Z389" s="80">
        <f t="shared" si="5"/>
        <v>0.1379172985</v>
      </c>
      <c r="AA389" s="81">
        <f t="shared" si="6"/>
        <v>0.4605783617</v>
      </c>
      <c r="AB389" s="79">
        <f t="shared" si="7"/>
        <v>710.364703</v>
      </c>
      <c r="AC389" s="80">
        <f t="shared" si="8"/>
        <v>0.1480487816</v>
      </c>
      <c r="AD389" s="81">
        <f t="shared" si="9"/>
        <v>0.7019414061</v>
      </c>
      <c r="AE389" s="74">
        <f>P389*(1-I389)*(1+'参数表'!$C$6)*(W389+X389+H389)*1.1+0.4*1.1</f>
        <v>5.926019</v>
      </c>
      <c r="AF389" s="74">
        <f t="shared" si="10"/>
        <v>8.0194235</v>
      </c>
      <c r="AG389" s="29"/>
    </row>
    <row r="390">
      <c r="A390" s="51" t="s">
        <v>1266</v>
      </c>
      <c r="B390" s="29"/>
      <c r="C390" s="60" t="s">
        <v>1267</v>
      </c>
      <c r="D390" s="42" t="s">
        <v>61</v>
      </c>
      <c r="E390" s="42" t="s">
        <v>89</v>
      </c>
      <c r="F390" s="29"/>
      <c r="G390" s="67" t="s">
        <v>1268</v>
      </c>
      <c r="H390" s="68">
        <v>0.05</v>
      </c>
      <c r="I390" s="68">
        <v>0.0</v>
      </c>
      <c r="J390" s="69">
        <v>2782.0</v>
      </c>
      <c r="K390" s="70">
        <v>120.0</v>
      </c>
      <c r="L390" s="16">
        <v>19.0</v>
      </c>
      <c r="M390" s="16">
        <v>14.0</v>
      </c>
      <c r="N390" s="16">
        <v>3.0</v>
      </c>
      <c r="O390" s="73">
        <f t="shared" si="14"/>
        <v>120</v>
      </c>
      <c r="P390" s="72">
        <v>42.8</v>
      </c>
      <c r="Q390" s="73">
        <f t="array" ref="Q390">XLOOKUP(K390/1000, '运费（邮政）'!$A$2:$A$21, '运费（邮政）'!$B$2:$B$21, "超出范围", 1)</f>
        <v>1060</v>
      </c>
      <c r="R390" s="72">
        <v>12.99</v>
      </c>
      <c r="S390" s="74">
        <f t="shared" si="2"/>
        <v>8.116358873</v>
      </c>
      <c r="T390" s="75">
        <f t="shared" si="3"/>
        <v>55.79</v>
      </c>
      <c r="U390" s="76">
        <f t="array" ref="U390">XLOOKUP(O390/1000, '运费（橙联）'!$A$2:$A$57, '运费（橙联）'!$B$2:$B$57, "超出范围", 1)</f>
        <v>1367</v>
      </c>
      <c r="V390" s="77">
        <f>(P390*'参数表'!$C$2*(1+'参数表'!$C$3))*$B$1+'参数表'!$C$4</f>
        <v>845.52296</v>
      </c>
      <c r="W390" s="68">
        <v>0.127</v>
      </c>
      <c r="X390" s="78">
        <v>0.0135</v>
      </c>
      <c r="Y390" s="79">
        <f t="shared" si="4"/>
        <v>772.202812</v>
      </c>
      <c r="Z390" s="80">
        <f t="shared" si="5"/>
        <v>0.1270571956</v>
      </c>
      <c r="AA390" s="81">
        <f t="shared" si="6"/>
        <v>0.2775711042</v>
      </c>
      <c r="AB390" s="79">
        <f t="shared" si="7"/>
        <v>1077.728113</v>
      </c>
      <c r="AC390" s="80">
        <f t="shared" si="8"/>
        <v>0.1360393368</v>
      </c>
      <c r="AD390" s="81">
        <f t="shared" si="9"/>
        <v>0.3873932829</v>
      </c>
      <c r="AE390" s="74">
        <f>P390*(1-I390)*(1+'参数表'!$C$6)*(W390+X390+H390)*1.1+0.4*1.1</f>
        <v>10.305614</v>
      </c>
      <c r="AF390" s="74">
        <f t="shared" si="10"/>
        <v>13.0276685</v>
      </c>
      <c r="AG390" s="29"/>
    </row>
    <row r="391">
      <c r="A391" s="51" t="s">
        <v>1269</v>
      </c>
      <c r="B391" s="29"/>
      <c r="C391" s="60" t="s">
        <v>1270</v>
      </c>
      <c r="D391" s="42" t="s">
        <v>61</v>
      </c>
      <c r="E391" s="42" t="s">
        <v>364</v>
      </c>
      <c r="F391" s="29"/>
      <c r="G391" s="57" t="s">
        <v>1271</v>
      </c>
      <c r="H391" s="68">
        <v>0.05</v>
      </c>
      <c r="I391" s="68">
        <v>0.0</v>
      </c>
      <c r="J391" s="69">
        <v>5812.0</v>
      </c>
      <c r="K391" s="70">
        <v>120.0</v>
      </c>
      <c r="L391" s="16">
        <v>19.0</v>
      </c>
      <c r="M391" s="16">
        <v>14.0</v>
      </c>
      <c r="N391" s="16">
        <v>3.0</v>
      </c>
      <c r="O391" s="73">
        <f t="shared" si="14"/>
        <v>120</v>
      </c>
      <c r="P391" s="72">
        <v>78.5</v>
      </c>
      <c r="Q391" s="73">
        <f t="array" ref="Q391">XLOOKUP(K391/1000, '运费（邮政）'!$A$2:$A$21, '运费（邮政）'!$B$2:$B$21, "超出范围", 1)</f>
        <v>1060</v>
      </c>
      <c r="R391" s="72">
        <v>15.99</v>
      </c>
      <c r="S391" s="74">
        <f t="shared" si="2"/>
        <v>11.76132887</v>
      </c>
      <c r="T391" s="75">
        <f t="shared" si="3"/>
        <v>94.49</v>
      </c>
      <c r="U391" s="76">
        <f t="array" ref="U391">XLOOKUP(O391/1000, '运费（橙联）'!$A$2:$A$57, '运费（橙联）'!$B$2:$B$57, "超出范围", 1)</f>
        <v>1367</v>
      </c>
      <c r="V391" s="77">
        <f>(P391*'参数表'!$C$2*(1+'参数表'!$C$3))*$B$1+'参数表'!$C$4</f>
        <v>1363.1087</v>
      </c>
      <c r="W391" s="68">
        <v>0.127</v>
      </c>
      <c r="X391" s="78">
        <v>0.0135</v>
      </c>
      <c r="Y391" s="79">
        <f t="shared" si="4"/>
        <v>1643.080765</v>
      </c>
      <c r="Z391" s="80">
        <f t="shared" si="5"/>
        <v>0.1474011631</v>
      </c>
      <c r="AA391" s="81">
        <f t="shared" si="6"/>
        <v>0.2827048804</v>
      </c>
      <c r="AB391" s="79">
        <f t="shared" si="7"/>
        <v>1767.752026</v>
      </c>
      <c r="AC391" s="80">
        <f t="shared" si="8"/>
        <v>0.1317489462</v>
      </c>
      <c r="AD391" s="81">
        <f t="shared" si="9"/>
        <v>0.3041555447</v>
      </c>
      <c r="AE391" s="74">
        <f>P391*(1-I391)*(1+'参数表'!$C$6)*(W391+X391+H391)*1.1+0.4*1.1</f>
        <v>18.5346425</v>
      </c>
      <c r="AF391" s="74">
        <f t="shared" si="10"/>
        <v>21.885347</v>
      </c>
      <c r="AG391" s="29"/>
    </row>
    <row r="392">
      <c r="A392" s="51" t="s">
        <v>1272</v>
      </c>
      <c r="B392" s="29"/>
      <c r="C392" s="60" t="s">
        <v>1273</v>
      </c>
      <c r="D392" s="42" t="s">
        <v>61</v>
      </c>
      <c r="E392" s="29"/>
      <c r="F392" s="29"/>
      <c r="G392" s="67" t="s">
        <v>1274</v>
      </c>
      <c r="H392" s="68">
        <v>0.05</v>
      </c>
      <c r="I392" s="68">
        <v>0.0</v>
      </c>
      <c r="J392" s="69">
        <v>2179.0</v>
      </c>
      <c r="K392" s="70">
        <v>120.0</v>
      </c>
      <c r="L392" s="16">
        <v>19.0</v>
      </c>
      <c r="M392" s="16">
        <v>14.0</v>
      </c>
      <c r="N392" s="84">
        <v>2.0</v>
      </c>
      <c r="O392" s="73">
        <f t="shared" si="14"/>
        <v>120</v>
      </c>
      <c r="P392" s="72">
        <v>35.8</v>
      </c>
      <c r="Q392" s="73">
        <f t="array" ref="Q392">XLOOKUP(K392/1000, '运费（邮政）'!$A$2:$A$21, '运费（邮政）'!$B$2:$B$21, "超出范围", 1)</f>
        <v>1060</v>
      </c>
      <c r="R392" s="72">
        <v>9.99</v>
      </c>
      <c r="S392" s="74">
        <f t="shared" si="2"/>
        <v>7.401658873</v>
      </c>
      <c r="T392" s="75">
        <f t="shared" si="3"/>
        <v>45.79</v>
      </c>
      <c r="U392" s="76">
        <f t="array" ref="U392">XLOOKUP(O392/1000, '运费（橙联）'!$A$2:$A$57, '运费（橙联）'!$B$2:$B$57, "超出范围", 1)</f>
        <v>1367</v>
      </c>
      <c r="V392" s="77">
        <f>(P392*'参数表'!$C$2*(1+'参数表'!$C$3))*$B$1+'参数表'!$C$4</f>
        <v>744.03556</v>
      </c>
      <c r="W392" s="68">
        <v>0.127</v>
      </c>
      <c r="X392" s="78">
        <v>0.0135</v>
      </c>
      <c r="Y392" s="79">
        <f t="shared" si="4"/>
        <v>610.324782</v>
      </c>
      <c r="Z392" s="80">
        <f t="shared" si="5"/>
        <v>0.1200575934</v>
      </c>
      <c r="AA392" s="81">
        <f t="shared" si="6"/>
        <v>0.2800939798</v>
      </c>
      <c r="AB392" s="79">
        <f t="shared" si="7"/>
        <v>680.605783</v>
      </c>
      <c r="AC392" s="80">
        <f t="shared" si="8"/>
        <v>0.1046734761</v>
      </c>
      <c r="AD392" s="81">
        <f t="shared" si="9"/>
        <v>0.3123477664</v>
      </c>
      <c r="AE392" s="74">
        <f>P392*(1-I392)*(1+'参数表'!$C$6)*(W392+X392+H392)*1.1+0.4*1.1</f>
        <v>8.692079</v>
      </c>
      <c r="AF392" s="74">
        <f t="shared" si="10"/>
        <v>10.7854835</v>
      </c>
      <c r="AG392" s="29"/>
    </row>
    <row r="393">
      <c r="A393" s="51" t="s">
        <v>1275</v>
      </c>
      <c r="B393" s="29"/>
      <c r="C393" s="60" t="s">
        <v>1276</v>
      </c>
      <c r="D393" s="42" t="s">
        <v>61</v>
      </c>
      <c r="E393" s="29"/>
      <c r="F393" s="29"/>
      <c r="G393" s="67" t="s">
        <v>1277</v>
      </c>
      <c r="H393" s="68">
        <v>0.05</v>
      </c>
      <c r="I393" s="68">
        <v>0.0</v>
      </c>
      <c r="J393" s="69">
        <v>2476.0</v>
      </c>
      <c r="K393" s="70">
        <v>120.0</v>
      </c>
      <c r="L393" s="16">
        <v>19.0</v>
      </c>
      <c r="M393" s="16">
        <v>14.0</v>
      </c>
      <c r="N393" s="84">
        <v>2.0</v>
      </c>
      <c r="O393" s="73">
        <f t="shared" si="14"/>
        <v>120</v>
      </c>
      <c r="P393" s="72">
        <v>38.8</v>
      </c>
      <c r="Q393" s="73">
        <f t="array" ref="Q393">XLOOKUP(K393/1000, '运费（邮政）'!$A$2:$A$21, '运费（邮政）'!$B$2:$B$21, "超出范围", 1)</f>
        <v>1060</v>
      </c>
      <c r="R393" s="72">
        <v>9.99</v>
      </c>
      <c r="S393" s="74">
        <f t="shared" si="2"/>
        <v>7.707958873</v>
      </c>
      <c r="T393" s="75">
        <f t="shared" si="3"/>
        <v>48.79</v>
      </c>
      <c r="U393" s="76">
        <f t="array" ref="U393">XLOOKUP(O393/1000, '运费（橙联）'!$A$2:$A$57, '运费（橙联）'!$B$2:$B$57, "超出范围", 1)</f>
        <v>1367</v>
      </c>
      <c r="V393" s="77">
        <f>(P393*'参数表'!$C$2*(1+'参数表'!$C$3))*$B$1+'参数表'!$C$4</f>
        <v>787.53016</v>
      </c>
      <c r="W393" s="68">
        <v>0.127</v>
      </c>
      <c r="X393" s="78">
        <v>0.0135</v>
      </c>
      <c r="Y393" s="79">
        <f t="shared" si="4"/>
        <v>641.129652</v>
      </c>
      <c r="Z393" s="80">
        <f t="shared" si="5"/>
        <v>0.1163659162</v>
      </c>
      <c r="AA393" s="81">
        <f t="shared" si="6"/>
        <v>0.2589376624</v>
      </c>
      <c r="AB393" s="79">
        <f t="shared" si="7"/>
        <v>667.916053</v>
      </c>
      <c r="AC393" s="80">
        <f t="shared" si="8"/>
        <v>0.0964057015</v>
      </c>
      <c r="AD393" s="81">
        <f t="shared" si="9"/>
        <v>0.2697560796</v>
      </c>
      <c r="AE393" s="74">
        <f>P393*(1-I393)*(1+'参数表'!$C$6)*(W393+X393+H393)*1.1+0.4*1.1</f>
        <v>9.383594</v>
      </c>
      <c r="AF393" s="74">
        <f t="shared" si="10"/>
        <v>11.4769985</v>
      </c>
      <c r="AG393" s="29"/>
    </row>
    <row r="394">
      <c r="A394" s="51" t="s">
        <v>1278</v>
      </c>
      <c r="B394" s="29"/>
      <c r="C394" s="60" t="s">
        <v>1279</v>
      </c>
      <c r="D394" s="42" t="s">
        <v>61</v>
      </c>
      <c r="E394" s="42" t="s">
        <v>364</v>
      </c>
      <c r="F394" s="29"/>
      <c r="G394" s="13" t="s">
        <v>1280</v>
      </c>
      <c r="H394" s="68">
        <v>0.05</v>
      </c>
      <c r="I394" s="68">
        <v>0.0</v>
      </c>
      <c r="J394" s="69">
        <v>2514.0</v>
      </c>
      <c r="K394" s="70">
        <v>120.0</v>
      </c>
      <c r="L394" s="16">
        <v>19.0</v>
      </c>
      <c r="M394" s="16">
        <v>14.0</v>
      </c>
      <c r="N394" s="84">
        <v>2.0</v>
      </c>
      <c r="O394" s="73">
        <f t="shared" si="14"/>
        <v>120</v>
      </c>
      <c r="P394" s="72">
        <v>39.8</v>
      </c>
      <c r="Q394" s="73">
        <f t="array" ref="Q394">XLOOKUP(K394/1000, '运费（邮政）'!$A$2:$A$21, '运费（邮政）'!$B$2:$B$21, "超出范围", 1)</f>
        <v>1060</v>
      </c>
      <c r="R394" s="72">
        <v>9.99</v>
      </c>
      <c r="S394" s="74">
        <f t="shared" si="2"/>
        <v>7.810058873</v>
      </c>
      <c r="T394" s="75">
        <f t="shared" si="3"/>
        <v>49.79</v>
      </c>
      <c r="U394" s="76">
        <f t="array" ref="U394">XLOOKUP(O394/1000, '运费（橙联）'!$A$2:$A$57, '运费（橙联）'!$B$2:$B$57, "超出范围", 1)</f>
        <v>1367</v>
      </c>
      <c r="V394" s="77">
        <f>(P394*'参数表'!$C$2*(1+'参数表'!$C$3))*$B$1+'参数表'!$C$4</f>
        <v>802.02836</v>
      </c>
      <c r="W394" s="68">
        <v>0.127</v>
      </c>
      <c r="X394" s="78">
        <v>0.0135</v>
      </c>
      <c r="Y394" s="79">
        <f t="shared" si="4"/>
        <v>712.397942</v>
      </c>
      <c r="Z394" s="80">
        <f t="shared" si="5"/>
        <v>0.1260524351</v>
      </c>
      <c r="AA394" s="81">
        <f t="shared" si="6"/>
        <v>0.283372292</v>
      </c>
      <c r="AB394" s="79">
        <f t="shared" si="7"/>
        <v>724.686143</v>
      </c>
      <c r="AC394" s="80">
        <f t="shared" si="8"/>
        <v>0.1024989665</v>
      </c>
      <c r="AD394" s="81">
        <f t="shared" si="9"/>
        <v>0.2882602001</v>
      </c>
      <c r="AE394" s="74">
        <f>P394*(1-I394)*(1+'参数表'!$C$6)*(W394+X394+H394)*1.1+0.4*1.1</f>
        <v>9.614099</v>
      </c>
      <c r="AF394" s="74">
        <f t="shared" si="10"/>
        <v>11.7075035</v>
      </c>
      <c r="AG394" s="29"/>
    </row>
    <row r="395">
      <c r="A395" s="51" t="s">
        <v>1281</v>
      </c>
      <c r="B395" s="29"/>
      <c r="C395" s="60" t="s">
        <v>1282</v>
      </c>
      <c r="D395" s="42" t="s">
        <v>61</v>
      </c>
      <c r="E395" s="42" t="s">
        <v>89</v>
      </c>
      <c r="F395" s="29"/>
      <c r="G395" s="67" t="s">
        <v>1283</v>
      </c>
      <c r="H395" s="68">
        <v>0.05</v>
      </c>
      <c r="I395" s="68">
        <v>0.0</v>
      </c>
      <c r="J395" s="69">
        <v>5561.0</v>
      </c>
      <c r="K395" s="70">
        <v>120.0</v>
      </c>
      <c r="L395" s="16">
        <v>19.0</v>
      </c>
      <c r="M395" s="16">
        <v>14.0</v>
      </c>
      <c r="N395" s="84">
        <v>2.0</v>
      </c>
      <c r="O395" s="73">
        <f t="shared" si="14"/>
        <v>120</v>
      </c>
      <c r="P395" s="72">
        <v>75.8</v>
      </c>
      <c r="Q395" s="73">
        <f t="array" ref="Q395">XLOOKUP(K395/1000, '运费（邮政）'!$A$2:$A$21, '运费（邮政）'!$B$2:$B$21, "超出范围", 1)</f>
        <v>1060</v>
      </c>
      <c r="R395" s="72">
        <v>15.99</v>
      </c>
      <c r="S395" s="74">
        <f t="shared" si="2"/>
        <v>11.48565887</v>
      </c>
      <c r="T395" s="75">
        <f t="shared" si="3"/>
        <v>91.79</v>
      </c>
      <c r="U395" s="76">
        <f t="array" ref="U395">XLOOKUP(O395/1000, '运费（橙联）'!$A$2:$A$57, '运费（橙联）'!$B$2:$B$57, "超出范围", 1)</f>
        <v>1367</v>
      </c>
      <c r="V395" s="77">
        <f>(P395*'参数表'!$C$2*(1+'参数表'!$C$3))*$B$1+'参数表'!$C$4</f>
        <v>1323.96356</v>
      </c>
      <c r="W395" s="68">
        <v>0.127</v>
      </c>
      <c r="X395" s="78">
        <v>0.0135</v>
      </c>
      <c r="Y395" s="79">
        <f t="shared" si="4"/>
        <v>1599.056382</v>
      </c>
      <c r="Z395" s="80">
        <f t="shared" si="5"/>
        <v>0.1485614833</v>
      </c>
      <c r="AA395" s="81">
        <f t="shared" si="6"/>
        <v>0.2875483514</v>
      </c>
      <c r="AB395" s="79">
        <f t="shared" si="7"/>
        <v>1762.872783</v>
      </c>
      <c r="AC395" s="80">
        <f t="shared" si="8"/>
        <v>0.1352499952</v>
      </c>
      <c r="AD395" s="81">
        <f t="shared" si="9"/>
        <v>0.3170064346</v>
      </c>
      <c r="AE395" s="74">
        <f>P395*(1-I395)*(1+'参数表'!$C$6)*(W395+X395+H395)*1.1+0.4*1.1</f>
        <v>17.912279</v>
      </c>
      <c r="AF395" s="74">
        <f t="shared" si="10"/>
        <v>21.2629835</v>
      </c>
      <c r="AG395" s="29"/>
    </row>
    <row r="396">
      <c r="A396" s="51" t="s">
        <v>1284</v>
      </c>
      <c r="B396" s="29"/>
      <c r="C396" s="60" t="s">
        <v>1285</v>
      </c>
      <c r="D396" s="42" t="s">
        <v>61</v>
      </c>
      <c r="E396" s="42" t="s">
        <v>89</v>
      </c>
      <c r="F396" s="29"/>
      <c r="G396" s="67" t="s">
        <v>1286</v>
      </c>
      <c r="H396" s="68">
        <v>0.05</v>
      </c>
      <c r="I396" s="68">
        <v>0.0</v>
      </c>
      <c r="J396" s="69">
        <v>3190.0</v>
      </c>
      <c r="K396" s="70">
        <v>120.0</v>
      </c>
      <c r="L396" s="16">
        <v>19.0</v>
      </c>
      <c r="M396" s="16">
        <v>14.0</v>
      </c>
      <c r="N396" s="84">
        <v>2.0</v>
      </c>
      <c r="O396" s="73">
        <f t="shared" si="14"/>
        <v>120</v>
      </c>
      <c r="P396" s="72">
        <v>47.8</v>
      </c>
      <c r="Q396" s="73">
        <f t="array" ref="Q396">XLOOKUP(K396/1000, '运费（邮政）'!$A$2:$A$21, '运费（邮政）'!$B$2:$B$21, "超出范围", 1)</f>
        <v>1060</v>
      </c>
      <c r="R396" s="72">
        <v>12.99</v>
      </c>
      <c r="S396" s="74">
        <f t="shared" si="2"/>
        <v>8.626858873</v>
      </c>
      <c r="T396" s="75">
        <f t="shared" si="3"/>
        <v>60.79</v>
      </c>
      <c r="U396" s="76">
        <f t="array" ref="U396">XLOOKUP(O396/1000, '运费（橙联）'!$A$2:$A$57, '运费（橙联）'!$B$2:$B$57, "超出范围", 1)</f>
        <v>1367</v>
      </c>
      <c r="V396" s="77">
        <f>(P396*'参数表'!$C$2*(1+'参数表'!$C$3))*$B$1+'参数表'!$C$4</f>
        <v>918.01396</v>
      </c>
      <c r="W396" s="68">
        <v>0.127</v>
      </c>
      <c r="X396" s="78">
        <v>0.0135</v>
      </c>
      <c r="Y396" s="79">
        <f t="shared" si="4"/>
        <v>910.544262</v>
      </c>
      <c r="Z396" s="80">
        <f t="shared" si="5"/>
        <v>0.1341481911</v>
      </c>
      <c r="AA396" s="81">
        <f t="shared" si="6"/>
        <v>0.2854370727</v>
      </c>
      <c r="AB396" s="79">
        <f t="shared" si="7"/>
        <v>1143.578563</v>
      </c>
      <c r="AC396" s="80">
        <f t="shared" si="8"/>
        <v>0.1324785353</v>
      </c>
      <c r="AD396" s="81">
        <f t="shared" si="9"/>
        <v>0.3584885777</v>
      </c>
      <c r="AE396" s="74">
        <f>P396*(1-I396)*(1+'参数表'!$C$6)*(W396+X396+H396)*1.1+0.4*1.1</f>
        <v>11.458139</v>
      </c>
      <c r="AF396" s="74">
        <f t="shared" si="10"/>
        <v>14.1801935</v>
      </c>
      <c r="AG396" s="29"/>
    </row>
    <row r="397">
      <c r="A397" s="51" t="s">
        <v>1287</v>
      </c>
      <c r="B397" s="29"/>
      <c r="C397" s="60" t="s">
        <v>1288</v>
      </c>
      <c r="D397" s="42" t="s">
        <v>61</v>
      </c>
      <c r="E397" s="42" t="s">
        <v>89</v>
      </c>
      <c r="F397" s="29"/>
      <c r="G397" s="67" t="s">
        <v>1289</v>
      </c>
      <c r="H397" s="68">
        <v>0.05</v>
      </c>
      <c r="I397" s="68">
        <v>0.0</v>
      </c>
      <c r="J397" s="69">
        <v>2223.0</v>
      </c>
      <c r="K397" s="70">
        <v>120.0</v>
      </c>
      <c r="L397" s="16">
        <v>19.0</v>
      </c>
      <c r="M397" s="16">
        <v>14.0</v>
      </c>
      <c r="N397" s="84">
        <v>2.0</v>
      </c>
      <c r="O397" s="73">
        <f t="shared" si="14"/>
        <v>120</v>
      </c>
      <c r="P397" s="72">
        <v>36.6</v>
      </c>
      <c r="Q397" s="73">
        <f t="array" ref="Q397">XLOOKUP(K397/1000, '运费（邮政）'!$A$2:$A$21, '运费（邮政）'!$B$2:$B$21, "超出范围", 1)</f>
        <v>1060</v>
      </c>
      <c r="R397" s="72">
        <v>9.99</v>
      </c>
      <c r="S397" s="74">
        <f t="shared" si="2"/>
        <v>7.483338873</v>
      </c>
      <c r="T397" s="75">
        <f t="shared" si="3"/>
        <v>46.59</v>
      </c>
      <c r="U397" s="76">
        <f t="array" ref="U397">XLOOKUP(O397/1000, '运费（橙联）'!$A$2:$A$57, '运费（橙联）'!$B$2:$B$57, "超出范围", 1)</f>
        <v>1367</v>
      </c>
      <c r="V397" s="77">
        <f>(P397*'参数表'!$C$2*(1+'参数表'!$C$3))*$B$1+'参数表'!$C$4</f>
        <v>755.63412</v>
      </c>
      <c r="W397" s="68">
        <v>0.127</v>
      </c>
      <c r="X397" s="78">
        <v>0.0135</v>
      </c>
      <c r="Y397" s="79">
        <f t="shared" si="4"/>
        <v>653.739414</v>
      </c>
      <c r="Z397" s="80">
        <f t="shared" si="5"/>
        <v>0.1257868495</v>
      </c>
      <c r="AA397" s="81">
        <f t="shared" si="6"/>
        <v>0.2940798084</v>
      </c>
      <c r="AB397" s="79">
        <f t="shared" si="7"/>
        <v>712.421855</v>
      </c>
      <c r="AC397" s="80">
        <f t="shared" si="8"/>
        <v>0.1076852397</v>
      </c>
      <c r="AD397" s="81">
        <f t="shared" si="9"/>
        <v>0.3204776676</v>
      </c>
      <c r="AE397" s="74">
        <f>P397*(1-I397)*(1+'参数表'!$C$6)*(W397+X397+H397)*1.1+0.4*1.1</f>
        <v>8.876483</v>
      </c>
      <c r="AF397" s="74">
        <f t="shared" si="10"/>
        <v>10.9698875</v>
      </c>
      <c r="AG397" s="29"/>
    </row>
    <row r="398">
      <c r="A398" s="51" t="s">
        <v>1290</v>
      </c>
      <c r="B398" s="29"/>
      <c r="C398" s="60" t="s">
        <v>1291</v>
      </c>
      <c r="D398" s="42" t="s">
        <v>61</v>
      </c>
      <c r="E398" s="42" t="s">
        <v>591</v>
      </c>
      <c r="F398" s="29"/>
      <c r="G398" s="67" t="s">
        <v>1292</v>
      </c>
      <c r="H398" s="68">
        <v>0.05</v>
      </c>
      <c r="I398" s="68">
        <v>0.0</v>
      </c>
      <c r="J398" s="69">
        <v>1792.0</v>
      </c>
      <c r="K398" s="70">
        <v>120.0</v>
      </c>
      <c r="L398" s="16">
        <v>19.0</v>
      </c>
      <c r="M398" s="16">
        <v>14.0</v>
      </c>
      <c r="N398" s="84">
        <v>2.0</v>
      </c>
      <c r="O398" s="73">
        <f t="shared" si="14"/>
        <v>120</v>
      </c>
      <c r="P398" s="72">
        <v>31.8</v>
      </c>
      <c r="Q398" s="73">
        <f t="array" ref="Q398">XLOOKUP(K398/1000, '运费（邮政）'!$A$2:$A$21, '运费（邮政）'!$B$2:$B$21, "超出范围", 1)</f>
        <v>1060</v>
      </c>
      <c r="R398" s="72">
        <v>9.99</v>
      </c>
      <c r="S398" s="74">
        <f t="shared" si="2"/>
        <v>6.993258873</v>
      </c>
      <c r="T398" s="75">
        <f t="shared" si="3"/>
        <v>41.79</v>
      </c>
      <c r="U398" s="76">
        <f t="array" ref="U398">XLOOKUP(O398/1000, '运费（橙联）'!$A$2:$A$57, '运费（橙联）'!$B$2:$B$57, "超出范围", 1)</f>
        <v>1367</v>
      </c>
      <c r="V398" s="77">
        <f>(P398*'参数表'!$C$2*(1+'参数表'!$C$3))*$B$1+'参数表'!$C$4</f>
        <v>686.04276</v>
      </c>
      <c r="W398" s="68">
        <v>0.127</v>
      </c>
      <c r="X398" s="78">
        <v>0.0135</v>
      </c>
      <c r="Y398" s="79">
        <f t="shared" si="4"/>
        <v>560.251622</v>
      </c>
      <c r="Z398" s="80">
        <f t="shared" si="5"/>
        <v>0.1240702502</v>
      </c>
      <c r="AA398" s="81">
        <f t="shared" si="6"/>
        <v>0.3126404141</v>
      </c>
      <c r="AB398" s="79">
        <f t="shared" si="7"/>
        <v>688.525423</v>
      </c>
      <c r="AC398" s="80">
        <f t="shared" si="8"/>
        <v>0.1160270539</v>
      </c>
      <c r="AD398" s="81">
        <f t="shared" si="9"/>
        <v>0.3842217762</v>
      </c>
      <c r="AE398" s="74">
        <f>P398*(1-I398)*(1+'参数表'!$C$6)*(W398+X398+H398)*1.1+0.4*1.1</f>
        <v>7.770059</v>
      </c>
      <c r="AF398" s="74">
        <f t="shared" si="10"/>
        <v>9.8634635</v>
      </c>
      <c r="AG398" s="29"/>
    </row>
    <row r="399">
      <c r="A399" s="51" t="s">
        <v>1293</v>
      </c>
      <c r="B399" s="29"/>
      <c r="C399" s="60" t="s">
        <v>1294</v>
      </c>
      <c r="D399" s="42" t="s">
        <v>61</v>
      </c>
      <c r="E399" s="42" t="s">
        <v>364</v>
      </c>
      <c r="F399" s="29"/>
      <c r="G399" s="13" t="s">
        <v>1295</v>
      </c>
      <c r="H399" s="68">
        <v>0.05</v>
      </c>
      <c r="I399" s="68">
        <v>0.0</v>
      </c>
      <c r="J399" s="69">
        <v>2456.0</v>
      </c>
      <c r="K399" s="70">
        <v>120.0</v>
      </c>
      <c r="L399" s="16">
        <v>19.0</v>
      </c>
      <c r="M399" s="16">
        <v>14.0</v>
      </c>
      <c r="N399" s="84">
        <v>2.0</v>
      </c>
      <c r="O399" s="73">
        <f t="shared" si="14"/>
        <v>120</v>
      </c>
      <c r="P399" s="72">
        <v>38.8</v>
      </c>
      <c r="Q399" s="73">
        <f t="array" ref="Q399">XLOOKUP(K399/1000, '运费（邮政）'!$A$2:$A$21, '运费（邮政）'!$B$2:$B$21, "超出范围", 1)</f>
        <v>1060</v>
      </c>
      <c r="R399" s="72">
        <v>9.99</v>
      </c>
      <c r="S399" s="74">
        <f t="shared" si="2"/>
        <v>7.707958873</v>
      </c>
      <c r="T399" s="75">
        <f t="shared" si="3"/>
        <v>48.79</v>
      </c>
      <c r="U399" s="76">
        <f t="array" ref="U399">XLOOKUP(O399/1000, '运费（橙联）'!$A$2:$A$57, '运费（橙联）'!$B$2:$B$57, "超出范围", 1)</f>
        <v>1367</v>
      </c>
      <c r="V399" s="77">
        <f>(P399*'参数表'!$C$2*(1+'参数表'!$C$3))*$B$1+'参数表'!$C$4</f>
        <v>787.53016</v>
      </c>
      <c r="W399" s="68">
        <v>0.127</v>
      </c>
      <c r="X399" s="78">
        <v>0.0135</v>
      </c>
      <c r="Y399" s="79">
        <f t="shared" si="4"/>
        <v>661.129652</v>
      </c>
      <c r="Z399" s="80">
        <f t="shared" si="5"/>
        <v>0.1199959438</v>
      </c>
      <c r="AA399" s="81">
        <f t="shared" si="6"/>
        <v>0.2691895977</v>
      </c>
      <c r="AB399" s="79">
        <f t="shared" si="7"/>
        <v>687.916053</v>
      </c>
      <c r="AC399" s="80">
        <f t="shared" si="8"/>
        <v>0.09929246252</v>
      </c>
      <c r="AD399" s="81">
        <f t="shared" si="9"/>
        <v>0.2800961128</v>
      </c>
      <c r="AE399" s="74">
        <f>P399*(1-I399)*(1+'参数表'!$C$6)*(W399+X399+H399)*1.1+0.4*1.1</f>
        <v>9.383594</v>
      </c>
      <c r="AF399" s="74">
        <f t="shared" si="10"/>
        <v>11.4769985</v>
      </c>
      <c r="AG399" s="29"/>
    </row>
    <row r="400">
      <c r="A400" s="51" t="s">
        <v>1296</v>
      </c>
      <c r="B400" s="29"/>
      <c r="C400" s="60" t="s">
        <v>1297</v>
      </c>
      <c r="D400" s="42" t="s">
        <v>61</v>
      </c>
      <c r="E400" s="42" t="s">
        <v>89</v>
      </c>
      <c r="F400" s="29"/>
      <c r="G400" s="37"/>
      <c r="H400" s="68">
        <v>0.05</v>
      </c>
      <c r="I400" s="68">
        <v>0.0</v>
      </c>
      <c r="J400" s="69">
        <v>2456.0</v>
      </c>
      <c r="K400" s="70">
        <v>120.0</v>
      </c>
      <c r="L400" s="16">
        <v>19.0</v>
      </c>
      <c r="M400" s="16">
        <v>14.0</v>
      </c>
      <c r="N400" s="84">
        <v>2.0</v>
      </c>
      <c r="O400" s="73">
        <f t="shared" si="14"/>
        <v>120</v>
      </c>
      <c r="P400" s="72">
        <v>38.8</v>
      </c>
      <c r="Q400" s="73">
        <f t="array" ref="Q400">XLOOKUP(K400/1000, '运费（邮政）'!$A$2:$A$21, '运费（邮政）'!$B$2:$B$21, "超出范围", 1)</f>
        <v>1060</v>
      </c>
      <c r="R400" s="72">
        <v>9.99</v>
      </c>
      <c r="S400" s="74">
        <f t="shared" si="2"/>
        <v>7.707958873</v>
      </c>
      <c r="T400" s="75">
        <f t="shared" si="3"/>
        <v>48.79</v>
      </c>
      <c r="U400" s="76">
        <f t="array" ref="U400">XLOOKUP(O400/1000, '运费（橙联）'!$A$2:$A$57, '运费（橙联）'!$B$2:$B$57, "超出范围", 1)</f>
        <v>1367</v>
      </c>
      <c r="V400" s="77">
        <f>(P400*'参数表'!$C$2*(1+'参数表'!$C$3))*$B$1+'参数表'!$C$4</f>
        <v>787.53016</v>
      </c>
      <c r="W400" s="68">
        <v>0.127</v>
      </c>
      <c r="X400" s="78">
        <v>0.0135</v>
      </c>
      <c r="Y400" s="79">
        <f t="shared" si="4"/>
        <v>661.129652</v>
      </c>
      <c r="Z400" s="80">
        <f t="shared" si="5"/>
        <v>0.1199959438</v>
      </c>
      <c r="AA400" s="81">
        <f t="shared" si="6"/>
        <v>0.2691895977</v>
      </c>
      <c r="AB400" s="79">
        <f t="shared" si="7"/>
        <v>687.916053</v>
      </c>
      <c r="AC400" s="80">
        <f t="shared" si="8"/>
        <v>0.09929246252</v>
      </c>
      <c r="AD400" s="81">
        <f t="shared" si="9"/>
        <v>0.2800961128</v>
      </c>
      <c r="AE400" s="74">
        <f>P400*(1-I400)*(1+'参数表'!$C$6)*(W400+X400+H400)*1.1+0.4*1.1</f>
        <v>9.383594</v>
      </c>
      <c r="AF400" s="74">
        <f t="shared" si="10"/>
        <v>11.4769985</v>
      </c>
      <c r="AG400" s="29"/>
    </row>
    <row r="401">
      <c r="A401" s="51" t="s">
        <v>1298</v>
      </c>
      <c r="B401" s="51" t="s">
        <v>1299</v>
      </c>
      <c r="C401" s="60" t="s">
        <v>1300</v>
      </c>
      <c r="D401" s="42" t="s">
        <v>61</v>
      </c>
      <c r="E401" s="29"/>
      <c r="F401" s="29"/>
      <c r="G401" s="67" t="s">
        <v>1301</v>
      </c>
      <c r="H401" s="68">
        <v>0.05</v>
      </c>
      <c r="I401" s="68">
        <v>0.0</v>
      </c>
      <c r="J401" s="69">
        <v>40000.0</v>
      </c>
      <c r="K401" s="70">
        <v>2200.0</v>
      </c>
      <c r="L401" s="82">
        <v>32.0</v>
      </c>
      <c r="M401" s="82">
        <v>22.0</v>
      </c>
      <c r="N401" s="82">
        <v>12.0</v>
      </c>
      <c r="O401" s="73">
        <f t="shared" si="14"/>
        <v>2200</v>
      </c>
      <c r="P401" s="72">
        <v>359.0</v>
      </c>
      <c r="Q401" s="73" t="str">
        <f t="array" ref="Q401">XLOOKUP(K401/1000, '运费（邮政）'!$A$2:$A$21, '运费（邮政）'!$B$2:$B$21, "超出范围", 1)</f>
        <v>超出范围</v>
      </c>
      <c r="R401" s="72">
        <v>110.0</v>
      </c>
      <c r="S401" s="74" t="str">
        <f t="shared" si="2"/>
        <v>#VALUE!</v>
      </c>
      <c r="T401" s="75">
        <f t="shared" si="3"/>
        <v>469</v>
      </c>
      <c r="U401" s="76">
        <f t="array" ref="U401">XLOOKUP(O401/1000, '运费（橙联）'!$A$2:$A$57, '运费（橙联）'!$B$2:$B$57, "超出范围", 1)</f>
        <v>4736</v>
      </c>
      <c r="V401" s="77">
        <f>(P401*'参数表'!$C$2*(1+'参数表'!$C$3))*$B$1+'参数表'!$C$4</f>
        <v>5429.8538</v>
      </c>
      <c r="W401" s="68">
        <v>0.127</v>
      </c>
      <c r="X401" s="78">
        <v>0.0135</v>
      </c>
      <c r="Y401" s="79" t="str">
        <f t="shared" si="4"/>
        <v>#VALUE!</v>
      </c>
      <c r="Z401" s="80" t="str">
        <f t="shared" si="5"/>
        <v>#VALUE!</v>
      </c>
      <c r="AA401" s="81" t="str">
        <f t="shared" si="6"/>
        <v>#VALUE!</v>
      </c>
      <c r="AB401" s="79">
        <f t="shared" si="7"/>
        <v>1345.81131</v>
      </c>
      <c r="AC401" s="80">
        <f t="shared" si="8"/>
        <v>0.02020798387</v>
      </c>
      <c r="AD401" s="81">
        <f t="shared" si="9"/>
        <v>0.03364528275</v>
      </c>
      <c r="AE401" s="74">
        <f>P401*(1-I401)*(1+'参数表'!$C$6)*(W401+X401+H401)*1.1+0.4*1.1</f>
        <v>83.191295</v>
      </c>
      <c r="AF401" s="74">
        <f t="shared" si="10"/>
        <v>106.241795</v>
      </c>
      <c r="AG401" s="29"/>
    </row>
    <row r="402">
      <c r="A402" s="51" t="s">
        <v>1302</v>
      </c>
      <c r="B402" s="51" t="s">
        <v>1303</v>
      </c>
      <c r="C402" s="60" t="s">
        <v>1304</v>
      </c>
      <c r="D402" s="42" t="s">
        <v>61</v>
      </c>
      <c r="E402" s="29"/>
      <c r="F402" s="29"/>
      <c r="G402" s="67" t="s">
        <v>1305</v>
      </c>
      <c r="H402" s="68">
        <v>0.05</v>
      </c>
      <c r="I402" s="68">
        <v>0.0</v>
      </c>
      <c r="J402" s="69">
        <v>25000.0</v>
      </c>
      <c r="K402" s="70">
        <v>1100.0</v>
      </c>
      <c r="L402" s="82">
        <v>30.0</v>
      </c>
      <c r="M402" s="82">
        <v>25.0</v>
      </c>
      <c r="N402" s="82">
        <v>10.0</v>
      </c>
      <c r="O402" s="73">
        <f t="shared" si="14"/>
        <v>1100</v>
      </c>
      <c r="P402" s="72">
        <v>224.9</v>
      </c>
      <c r="Q402" s="73">
        <f t="array" ref="Q402">XLOOKUP(K402/1000, '运费（邮政）'!$A$2:$A$21, '运费（邮政）'!$B$2:$B$21, "超出范围", 1)</f>
        <v>2680</v>
      </c>
      <c r="R402" s="72">
        <v>85.0</v>
      </c>
      <c r="S402" s="74">
        <f t="shared" si="2"/>
        <v>27.75806465</v>
      </c>
      <c r="T402" s="75">
        <f t="shared" si="3"/>
        <v>309.9</v>
      </c>
      <c r="U402" s="76">
        <f t="array" ref="U402">XLOOKUP(O402/1000, '运费（橙联）'!$A$2:$A$57, '运费（橙联）'!$B$2:$B$57, "超出范围", 1)</f>
        <v>3136</v>
      </c>
      <c r="V402" s="77">
        <f>(P402*'参数表'!$C$2*(1+'参数表'!$C$3))*$B$1+'参数表'!$C$4</f>
        <v>3485.64518</v>
      </c>
      <c r="W402" s="68">
        <v>0.127</v>
      </c>
      <c r="X402" s="78">
        <v>0.0135</v>
      </c>
      <c r="Y402" s="79">
        <f t="shared" si="4"/>
        <v>-3168.041579</v>
      </c>
      <c r="Z402" s="80">
        <f t="shared" si="5"/>
        <v>-0.09920031999</v>
      </c>
      <c r="AA402" s="81">
        <f t="shared" si="6"/>
        <v>-0.1267216632</v>
      </c>
      <c r="AB402" s="79">
        <f t="shared" si="7"/>
        <v>2431.044741</v>
      </c>
      <c r="AC402" s="80">
        <f t="shared" si="8"/>
        <v>0.05524373471</v>
      </c>
      <c r="AD402" s="81">
        <f t="shared" si="9"/>
        <v>0.09724178964</v>
      </c>
      <c r="AE402" s="74">
        <f>P402*(1-I402)*(1+'参数表'!$C$6)*(W402+X402+H402)*1.1+0.4*1.1</f>
        <v>52.2805745</v>
      </c>
      <c r="AF402" s="74">
        <f t="shared" si="10"/>
        <v>70.0923245</v>
      </c>
      <c r="AG402" s="29"/>
    </row>
    <row r="403">
      <c r="A403" s="29"/>
      <c r="B403" s="29"/>
      <c r="C403" s="60" t="s">
        <v>1306</v>
      </c>
      <c r="D403" s="29"/>
      <c r="E403" s="29"/>
      <c r="F403" s="29"/>
      <c r="G403" s="37"/>
      <c r="H403" s="68">
        <v>0.05</v>
      </c>
      <c r="I403" s="68">
        <v>0.0</v>
      </c>
      <c r="J403" s="91"/>
      <c r="K403" s="88"/>
      <c r="L403" s="84">
        <v>34.0</v>
      </c>
      <c r="M403" s="84">
        <v>24.0</v>
      </c>
      <c r="N403" s="84">
        <v>2.0</v>
      </c>
      <c r="O403" s="73">
        <f t="shared" si="14"/>
        <v>204</v>
      </c>
      <c r="P403" s="89"/>
      <c r="Q403" s="73">
        <f t="array" ref="Q403">XLOOKUP(K403/1000, '运费（邮政）'!$A$2:$A$21, '运费（邮政）'!$B$2:$B$21, "超出范围", 1)</f>
        <v>880</v>
      </c>
      <c r="R403" s="89"/>
      <c r="S403" s="74">
        <f t="shared" si="2"/>
        <v>6.521126761</v>
      </c>
      <c r="T403" s="75">
        <f t="shared" si="3"/>
        <v>0</v>
      </c>
      <c r="U403" s="76">
        <f t="array" ref="U403">XLOOKUP(O403/1000, '运费（橙联）'!$A$2:$A$57, '运费（橙联）'!$B$2:$B$57, "超出范围", 1)</f>
        <v>1581</v>
      </c>
      <c r="V403" s="77">
        <f>(P403*'参数表'!$C$2*(1+'参数表'!$C$3))*$B$1+'参数表'!$C$4</f>
        <v>225</v>
      </c>
      <c r="W403" s="68">
        <v>0.127</v>
      </c>
      <c r="X403" s="78">
        <v>0.0135</v>
      </c>
      <c r="Y403" s="79">
        <f t="shared" si="4"/>
        <v>-942.48</v>
      </c>
      <c r="Z403" s="80" t="str">
        <f t="shared" si="5"/>
        <v>#DIV/0!</v>
      </c>
      <c r="AA403" s="81" t="str">
        <f t="shared" si="6"/>
        <v>#DIV/0!</v>
      </c>
      <c r="AB403" s="79">
        <f t="shared" si="7"/>
        <v>-1868.48</v>
      </c>
      <c r="AC403" s="80" t="str">
        <f t="shared" si="8"/>
        <v>#DIV/0!</v>
      </c>
      <c r="AD403" s="81" t="str">
        <f t="shared" si="9"/>
        <v>#DIV/0!</v>
      </c>
      <c r="AE403" s="74">
        <f>P403*(1-I403)*(1+'参数表'!$C$6)*(W403+X403+H403)*1.1+0.4*1.1</f>
        <v>0.44</v>
      </c>
      <c r="AF403" s="74">
        <f t="shared" si="10"/>
        <v>0.44</v>
      </c>
      <c r="AG403" s="29"/>
    </row>
    <row r="404">
      <c r="A404" s="29"/>
      <c r="B404" s="29"/>
      <c r="C404" s="60" t="s">
        <v>1307</v>
      </c>
      <c r="D404" s="29"/>
      <c r="E404" s="29"/>
      <c r="F404" s="29"/>
      <c r="G404" s="37"/>
      <c r="H404" s="68">
        <v>0.05</v>
      </c>
      <c r="I404" s="68">
        <v>0.0</v>
      </c>
      <c r="J404" s="91"/>
      <c r="K404" s="88"/>
      <c r="L404" s="84">
        <v>34.0</v>
      </c>
      <c r="M404" s="84">
        <v>24.0</v>
      </c>
      <c r="N404" s="84">
        <v>2.0</v>
      </c>
      <c r="O404" s="73">
        <f t="shared" si="14"/>
        <v>204</v>
      </c>
      <c r="P404" s="89"/>
      <c r="Q404" s="73">
        <f t="array" ref="Q404">XLOOKUP(K404/1000, '运费（邮政）'!$A$2:$A$21, '运费（邮政）'!$B$2:$B$21, "超出范围", 1)</f>
        <v>880</v>
      </c>
      <c r="R404" s="89"/>
      <c r="S404" s="74">
        <f t="shared" si="2"/>
        <v>6.521126761</v>
      </c>
      <c r="T404" s="75">
        <f t="shared" si="3"/>
        <v>0</v>
      </c>
      <c r="U404" s="76">
        <f t="array" ref="U404">XLOOKUP(O404/1000, '运费（橙联）'!$A$2:$A$57, '运费（橙联）'!$B$2:$B$57, "超出范围", 1)</f>
        <v>1581</v>
      </c>
      <c r="V404" s="77">
        <f>(P404*'参数表'!$C$2*(1+'参数表'!$C$3))*$B$1+'参数表'!$C$4</f>
        <v>225</v>
      </c>
      <c r="W404" s="68">
        <v>0.127</v>
      </c>
      <c r="X404" s="78">
        <v>0.0135</v>
      </c>
      <c r="Y404" s="79">
        <f t="shared" si="4"/>
        <v>-942.48</v>
      </c>
      <c r="Z404" s="80" t="str">
        <f t="shared" si="5"/>
        <v>#DIV/0!</v>
      </c>
      <c r="AA404" s="81" t="str">
        <f t="shared" si="6"/>
        <v>#DIV/0!</v>
      </c>
      <c r="AB404" s="79">
        <f t="shared" si="7"/>
        <v>-1868.48</v>
      </c>
      <c r="AC404" s="80" t="str">
        <f t="shared" si="8"/>
        <v>#DIV/0!</v>
      </c>
      <c r="AD404" s="81" t="str">
        <f t="shared" si="9"/>
        <v>#DIV/0!</v>
      </c>
      <c r="AE404" s="74">
        <f>P404*(1-I404)*(1+'参数表'!$C$6)*(W404+X404+H404)*1.1+0.4*1.1</f>
        <v>0.44</v>
      </c>
      <c r="AF404" s="74">
        <f t="shared" si="10"/>
        <v>0.44</v>
      </c>
      <c r="AG404" s="29"/>
    </row>
    <row r="405">
      <c r="A405" s="29"/>
      <c r="B405" s="29"/>
      <c r="C405" s="60" t="s">
        <v>1308</v>
      </c>
      <c r="D405" s="29"/>
      <c r="E405" s="29"/>
      <c r="F405" s="29"/>
      <c r="G405" s="37"/>
      <c r="H405" s="68">
        <v>0.05</v>
      </c>
      <c r="I405" s="68">
        <v>0.0</v>
      </c>
      <c r="J405" s="91"/>
      <c r="K405" s="88"/>
      <c r="L405" s="84">
        <v>34.0</v>
      </c>
      <c r="M405" s="84">
        <v>24.0</v>
      </c>
      <c r="N405" s="84">
        <v>2.0</v>
      </c>
      <c r="O405" s="73">
        <f t="shared" si="14"/>
        <v>204</v>
      </c>
      <c r="P405" s="89"/>
      <c r="Q405" s="73">
        <f t="array" ref="Q405">XLOOKUP(K405/1000, '运费（邮政）'!$A$2:$A$21, '运费（邮政）'!$B$2:$B$21, "超出范围", 1)</f>
        <v>880</v>
      </c>
      <c r="R405" s="89"/>
      <c r="S405" s="74">
        <f t="shared" si="2"/>
        <v>6.521126761</v>
      </c>
      <c r="T405" s="75">
        <f t="shared" si="3"/>
        <v>0</v>
      </c>
      <c r="U405" s="76">
        <f t="array" ref="U405">XLOOKUP(O405/1000, '运费（橙联）'!$A$2:$A$57, '运费（橙联）'!$B$2:$B$57, "超出范围", 1)</f>
        <v>1581</v>
      </c>
      <c r="V405" s="77">
        <f>(P405*'参数表'!$C$2*(1+'参数表'!$C$3))*$B$1+'参数表'!$C$4</f>
        <v>225</v>
      </c>
      <c r="W405" s="68">
        <v>0.127</v>
      </c>
      <c r="X405" s="78">
        <v>0.0135</v>
      </c>
      <c r="Y405" s="79">
        <f t="shared" si="4"/>
        <v>-942.48</v>
      </c>
      <c r="Z405" s="80" t="str">
        <f t="shared" si="5"/>
        <v>#DIV/0!</v>
      </c>
      <c r="AA405" s="81" t="str">
        <f t="shared" si="6"/>
        <v>#DIV/0!</v>
      </c>
      <c r="AB405" s="79">
        <f t="shared" si="7"/>
        <v>-1868.48</v>
      </c>
      <c r="AC405" s="80" t="str">
        <f t="shared" si="8"/>
        <v>#DIV/0!</v>
      </c>
      <c r="AD405" s="81" t="str">
        <f t="shared" si="9"/>
        <v>#DIV/0!</v>
      </c>
      <c r="AE405" s="74">
        <f>P405*(1-I405)*(1+'参数表'!$C$6)*(W405+X405+H405)*1.1+0.4*1.1</f>
        <v>0.44</v>
      </c>
      <c r="AF405" s="74">
        <f t="shared" si="10"/>
        <v>0.44</v>
      </c>
      <c r="AG405" s="29"/>
    </row>
    <row r="406">
      <c r="A406" s="29"/>
      <c r="B406" s="29"/>
      <c r="C406" s="60" t="s">
        <v>1309</v>
      </c>
      <c r="D406" s="29"/>
      <c r="E406" s="29"/>
      <c r="F406" s="29"/>
      <c r="G406" s="37"/>
      <c r="H406" s="68">
        <v>0.05</v>
      </c>
      <c r="I406" s="68">
        <v>0.0</v>
      </c>
      <c r="J406" s="91"/>
      <c r="K406" s="88"/>
      <c r="L406" s="84">
        <v>34.0</v>
      </c>
      <c r="M406" s="84">
        <v>24.0</v>
      </c>
      <c r="N406" s="84">
        <v>2.0</v>
      </c>
      <c r="O406" s="73">
        <f t="shared" si="14"/>
        <v>204</v>
      </c>
      <c r="P406" s="89"/>
      <c r="Q406" s="73">
        <f t="array" ref="Q406">XLOOKUP(K406/1000, '运费（邮政）'!$A$2:$A$21, '运费（邮政）'!$B$2:$B$21, "超出范围", 1)</f>
        <v>880</v>
      </c>
      <c r="R406" s="89"/>
      <c r="S406" s="74">
        <f t="shared" si="2"/>
        <v>6.521126761</v>
      </c>
      <c r="T406" s="75">
        <f t="shared" si="3"/>
        <v>0</v>
      </c>
      <c r="U406" s="76">
        <f t="array" ref="U406">XLOOKUP(O406/1000, '运费（橙联）'!$A$2:$A$57, '运费（橙联）'!$B$2:$B$57, "超出范围", 1)</f>
        <v>1581</v>
      </c>
      <c r="V406" s="77">
        <f>(P406*'参数表'!$C$2*(1+'参数表'!$C$3))*$B$1+'参数表'!$C$4</f>
        <v>225</v>
      </c>
      <c r="W406" s="68">
        <v>0.127</v>
      </c>
      <c r="X406" s="78">
        <v>0.0135</v>
      </c>
      <c r="Y406" s="79">
        <f t="shared" si="4"/>
        <v>-942.48</v>
      </c>
      <c r="Z406" s="80" t="str">
        <f t="shared" si="5"/>
        <v>#DIV/0!</v>
      </c>
      <c r="AA406" s="81" t="str">
        <f t="shared" si="6"/>
        <v>#DIV/0!</v>
      </c>
      <c r="AB406" s="79">
        <f t="shared" si="7"/>
        <v>-1868.48</v>
      </c>
      <c r="AC406" s="80" t="str">
        <f t="shared" si="8"/>
        <v>#DIV/0!</v>
      </c>
      <c r="AD406" s="81" t="str">
        <f t="shared" si="9"/>
        <v>#DIV/0!</v>
      </c>
      <c r="AE406" s="74">
        <f>P406*(1-I406)*(1+'参数表'!$C$6)*(W406+X406+H406)*1.1+0.4*1.1</f>
        <v>0.44</v>
      </c>
      <c r="AF406" s="74">
        <f t="shared" si="10"/>
        <v>0.44</v>
      </c>
      <c r="AG406" s="29"/>
    </row>
    <row r="407">
      <c r="A407" s="29"/>
      <c r="B407" s="29"/>
      <c r="C407" s="60" t="s">
        <v>1310</v>
      </c>
      <c r="D407" s="29"/>
      <c r="E407" s="29"/>
      <c r="F407" s="29"/>
      <c r="G407" s="37"/>
      <c r="H407" s="68">
        <v>0.05</v>
      </c>
      <c r="I407" s="68">
        <v>0.0</v>
      </c>
      <c r="J407" s="91"/>
      <c r="K407" s="88"/>
      <c r="L407" s="84">
        <v>34.0</v>
      </c>
      <c r="M407" s="84">
        <v>24.0</v>
      </c>
      <c r="N407" s="84">
        <v>2.0</v>
      </c>
      <c r="O407" s="73">
        <f t="shared" si="14"/>
        <v>204</v>
      </c>
      <c r="P407" s="89"/>
      <c r="Q407" s="73">
        <f t="array" ref="Q407">XLOOKUP(K407/1000, '运费（邮政）'!$A$2:$A$21, '运费（邮政）'!$B$2:$B$21, "超出范围", 1)</f>
        <v>880</v>
      </c>
      <c r="R407" s="89"/>
      <c r="S407" s="74">
        <f t="shared" si="2"/>
        <v>6.521126761</v>
      </c>
      <c r="T407" s="75">
        <f t="shared" si="3"/>
        <v>0</v>
      </c>
      <c r="U407" s="76">
        <f t="array" ref="U407">XLOOKUP(O407/1000, '运费（橙联）'!$A$2:$A$57, '运费（橙联）'!$B$2:$B$57, "超出范围", 1)</f>
        <v>1581</v>
      </c>
      <c r="V407" s="77">
        <f>(P407*'参数表'!$C$2*(1+'参数表'!$C$3))*$B$1+'参数表'!$C$4</f>
        <v>225</v>
      </c>
      <c r="W407" s="68">
        <v>0.127</v>
      </c>
      <c r="X407" s="78">
        <v>0.0135</v>
      </c>
      <c r="Y407" s="79">
        <f t="shared" si="4"/>
        <v>-942.48</v>
      </c>
      <c r="Z407" s="80" t="str">
        <f t="shared" si="5"/>
        <v>#DIV/0!</v>
      </c>
      <c r="AA407" s="81" t="str">
        <f t="shared" si="6"/>
        <v>#DIV/0!</v>
      </c>
      <c r="AB407" s="79">
        <f t="shared" si="7"/>
        <v>-1868.48</v>
      </c>
      <c r="AC407" s="80" t="str">
        <f t="shared" si="8"/>
        <v>#DIV/0!</v>
      </c>
      <c r="AD407" s="81" t="str">
        <f t="shared" si="9"/>
        <v>#DIV/0!</v>
      </c>
      <c r="AE407" s="74">
        <f>P407*(1-I407)*(1+'参数表'!$C$6)*(W407+X407+H407)*1.1+0.4*1.1</f>
        <v>0.44</v>
      </c>
      <c r="AF407" s="74">
        <f t="shared" si="10"/>
        <v>0.44</v>
      </c>
      <c r="AG407" s="29"/>
    </row>
    <row r="408">
      <c r="A408" s="29"/>
      <c r="B408" s="29"/>
      <c r="C408" s="60" t="s">
        <v>1311</v>
      </c>
      <c r="D408" s="29"/>
      <c r="E408" s="29"/>
      <c r="F408" s="29"/>
      <c r="G408" s="37"/>
      <c r="H408" s="68">
        <v>0.05</v>
      </c>
      <c r="I408" s="68">
        <v>0.0</v>
      </c>
      <c r="J408" s="91"/>
      <c r="K408" s="88"/>
      <c r="L408" s="84">
        <v>34.0</v>
      </c>
      <c r="M408" s="84">
        <v>24.0</v>
      </c>
      <c r="N408" s="84">
        <v>2.0</v>
      </c>
      <c r="O408" s="73">
        <f t="shared" si="14"/>
        <v>204</v>
      </c>
      <c r="P408" s="89"/>
      <c r="Q408" s="73">
        <f t="array" ref="Q408">XLOOKUP(K408/1000, '运费（邮政）'!$A$2:$A$21, '运费（邮政）'!$B$2:$B$21, "超出范围", 1)</f>
        <v>880</v>
      </c>
      <c r="R408" s="89"/>
      <c r="S408" s="74">
        <f t="shared" si="2"/>
        <v>6.521126761</v>
      </c>
      <c r="T408" s="75">
        <f t="shared" si="3"/>
        <v>0</v>
      </c>
      <c r="U408" s="76">
        <f t="array" ref="U408">XLOOKUP(O408/1000, '运费（橙联）'!$A$2:$A$57, '运费（橙联）'!$B$2:$B$57, "超出范围", 1)</f>
        <v>1581</v>
      </c>
      <c r="V408" s="77">
        <f>(P408*'参数表'!$C$2*(1+'参数表'!$C$3))*$B$1+'参数表'!$C$4</f>
        <v>225</v>
      </c>
      <c r="W408" s="68">
        <v>0.127</v>
      </c>
      <c r="X408" s="78">
        <v>0.0135</v>
      </c>
      <c r="Y408" s="79">
        <f t="shared" si="4"/>
        <v>-942.48</v>
      </c>
      <c r="Z408" s="80" t="str">
        <f t="shared" si="5"/>
        <v>#DIV/0!</v>
      </c>
      <c r="AA408" s="81" t="str">
        <f t="shared" si="6"/>
        <v>#DIV/0!</v>
      </c>
      <c r="AB408" s="79">
        <f t="shared" si="7"/>
        <v>-1868.48</v>
      </c>
      <c r="AC408" s="80" t="str">
        <f t="shared" si="8"/>
        <v>#DIV/0!</v>
      </c>
      <c r="AD408" s="81" t="str">
        <f t="shared" si="9"/>
        <v>#DIV/0!</v>
      </c>
      <c r="AE408" s="74">
        <f>P408*(1-I408)*(1+'参数表'!$C$6)*(W408+X408+H408)*1.1+0.4*1.1</f>
        <v>0.44</v>
      </c>
      <c r="AF408" s="74">
        <f t="shared" si="10"/>
        <v>0.44</v>
      </c>
      <c r="AG408" s="29"/>
    </row>
    <row r="409">
      <c r="A409" s="29"/>
      <c r="B409" s="29"/>
      <c r="C409" s="60" t="s">
        <v>1312</v>
      </c>
      <c r="D409" s="29"/>
      <c r="E409" s="29"/>
      <c r="F409" s="29"/>
      <c r="G409" s="37"/>
      <c r="H409" s="68">
        <v>0.05</v>
      </c>
      <c r="I409" s="68">
        <v>0.0</v>
      </c>
      <c r="J409" s="91"/>
      <c r="K409" s="88"/>
      <c r="L409" s="84">
        <v>34.0</v>
      </c>
      <c r="M409" s="84">
        <v>24.0</v>
      </c>
      <c r="N409" s="84">
        <v>2.0</v>
      </c>
      <c r="O409" s="73">
        <f t="shared" si="14"/>
        <v>204</v>
      </c>
      <c r="P409" s="89"/>
      <c r="Q409" s="73">
        <f t="array" ref="Q409">XLOOKUP(K409/1000, '运费（邮政）'!$A$2:$A$21, '运费（邮政）'!$B$2:$B$21, "超出范围", 1)</f>
        <v>880</v>
      </c>
      <c r="R409" s="89"/>
      <c r="S409" s="74">
        <f t="shared" si="2"/>
        <v>6.521126761</v>
      </c>
      <c r="T409" s="75">
        <f t="shared" si="3"/>
        <v>0</v>
      </c>
      <c r="U409" s="76">
        <f t="array" ref="U409">XLOOKUP(O409/1000, '运费（橙联）'!$A$2:$A$57, '运费（橙联）'!$B$2:$B$57, "超出范围", 1)</f>
        <v>1581</v>
      </c>
      <c r="V409" s="77">
        <f>(P409*'参数表'!$C$2*(1+'参数表'!$C$3))*$B$1+'参数表'!$C$4</f>
        <v>225</v>
      </c>
      <c r="W409" s="68">
        <v>0.127</v>
      </c>
      <c r="X409" s="78">
        <v>0.0135</v>
      </c>
      <c r="Y409" s="79">
        <f t="shared" si="4"/>
        <v>-942.48</v>
      </c>
      <c r="Z409" s="80" t="str">
        <f t="shared" si="5"/>
        <v>#DIV/0!</v>
      </c>
      <c r="AA409" s="81" t="str">
        <f t="shared" si="6"/>
        <v>#DIV/0!</v>
      </c>
      <c r="AB409" s="79">
        <f t="shared" si="7"/>
        <v>-1868.48</v>
      </c>
      <c r="AC409" s="80" t="str">
        <f t="shared" si="8"/>
        <v>#DIV/0!</v>
      </c>
      <c r="AD409" s="81" t="str">
        <f t="shared" si="9"/>
        <v>#DIV/0!</v>
      </c>
      <c r="AE409" s="74">
        <f>P409*(1-I409)*(1+'参数表'!$C$6)*(W409+X409+H409)*1.1+0.4*1.1</f>
        <v>0.44</v>
      </c>
      <c r="AF409" s="74">
        <f t="shared" si="10"/>
        <v>0.44</v>
      </c>
      <c r="AG409" s="29"/>
    </row>
    <row r="410">
      <c r="A410" s="29"/>
      <c r="B410" s="29"/>
      <c r="C410" s="60" t="s">
        <v>1313</v>
      </c>
      <c r="D410" s="29"/>
      <c r="E410" s="29"/>
      <c r="F410" s="29"/>
      <c r="G410" s="37"/>
      <c r="H410" s="68">
        <v>0.05</v>
      </c>
      <c r="I410" s="68">
        <v>0.0</v>
      </c>
      <c r="J410" s="91"/>
      <c r="K410" s="88"/>
      <c r="L410" s="84">
        <v>34.0</v>
      </c>
      <c r="M410" s="84">
        <v>24.0</v>
      </c>
      <c r="N410" s="84">
        <v>2.0</v>
      </c>
      <c r="O410" s="73">
        <f t="shared" si="14"/>
        <v>204</v>
      </c>
      <c r="P410" s="89"/>
      <c r="Q410" s="73">
        <f t="array" ref="Q410">XLOOKUP(K410/1000, '运费（邮政）'!$A$2:$A$21, '运费（邮政）'!$B$2:$B$21, "超出范围", 1)</f>
        <v>880</v>
      </c>
      <c r="R410" s="89"/>
      <c r="S410" s="74">
        <f t="shared" si="2"/>
        <v>6.521126761</v>
      </c>
      <c r="T410" s="75">
        <f t="shared" si="3"/>
        <v>0</v>
      </c>
      <c r="U410" s="76">
        <f t="array" ref="U410">XLOOKUP(O410/1000, '运费（橙联）'!$A$2:$A$57, '运费（橙联）'!$B$2:$B$57, "超出范围", 1)</f>
        <v>1581</v>
      </c>
      <c r="V410" s="77">
        <f>(P410*'参数表'!$C$2*(1+'参数表'!$C$3))*$B$1+'参数表'!$C$4</f>
        <v>225</v>
      </c>
      <c r="W410" s="68">
        <v>0.127</v>
      </c>
      <c r="X410" s="78">
        <v>0.0135</v>
      </c>
      <c r="Y410" s="79">
        <f t="shared" si="4"/>
        <v>-942.48</v>
      </c>
      <c r="Z410" s="80" t="str">
        <f t="shared" si="5"/>
        <v>#DIV/0!</v>
      </c>
      <c r="AA410" s="81" t="str">
        <f t="shared" si="6"/>
        <v>#DIV/0!</v>
      </c>
      <c r="AB410" s="79">
        <f t="shared" si="7"/>
        <v>-1868.48</v>
      </c>
      <c r="AC410" s="80" t="str">
        <f t="shared" si="8"/>
        <v>#DIV/0!</v>
      </c>
      <c r="AD410" s="81" t="str">
        <f t="shared" si="9"/>
        <v>#DIV/0!</v>
      </c>
      <c r="AE410" s="74">
        <f>P410*(1-I410)*(1+'参数表'!$C$6)*(W410+X410+H410)*1.1+0.4*1.1</f>
        <v>0.44</v>
      </c>
      <c r="AF410" s="74">
        <f t="shared" si="10"/>
        <v>0.44</v>
      </c>
      <c r="AG410" s="29"/>
    </row>
    <row r="411">
      <c r="A411" s="29"/>
      <c r="B411" s="29"/>
      <c r="C411" s="60" t="s">
        <v>1314</v>
      </c>
      <c r="D411" s="29"/>
      <c r="E411" s="29"/>
      <c r="F411" s="29"/>
      <c r="G411" s="37"/>
      <c r="H411" s="68">
        <v>0.05</v>
      </c>
      <c r="I411" s="68">
        <v>0.0</v>
      </c>
      <c r="J411" s="91"/>
      <c r="K411" s="88"/>
      <c r="L411" s="84">
        <v>34.0</v>
      </c>
      <c r="M411" s="84">
        <v>24.0</v>
      </c>
      <c r="N411" s="84">
        <v>2.0</v>
      </c>
      <c r="O411" s="73">
        <f t="shared" si="14"/>
        <v>204</v>
      </c>
      <c r="P411" s="89"/>
      <c r="Q411" s="73">
        <f t="array" ref="Q411">XLOOKUP(K411/1000, '运费（邮政）'!$A$2:$A$21, '运费（邮政）'!$B$2:$B$21, "超出范围", 1)</f>
        <v>880</v>
      </c>
      <c r="R411" s="89"/>
      <c r="S411" s="74">
        <f t="shared" si="2"/>
        <v>6.521126761</v>
      </c>
      <c r="T411" s="75">
        <f t="shared" si="3"/>
        <v>0</v>
      </c>
      <c r="U411" s="76">
        <f t="array" ref="U411">XLOOKUP(O411/1000, '运费（橙联）'!$A$2:$A$57, '运费（橙联）'!$B$2:$B$57, "超出范围", 1)</f>
        <v>1581</v>
      </c>
      <c r="V411" s="77">
        <f>(P411*'参数表'!$C$2*(1+'参数表'!$C$3))*$B$1+'参数表'!$C$4</f>
        <v>225</v>
      </c>
      <c r="W411" s="68">
        <v>0.127</v>
      </c>
      <c r="X411" s="78">
        <v>0.0135</v>
      </c>
      <c r="Y411" s="79">
        <f t="shared" si="4"/>
        <v>-942.48</v>
      </c>
      <c r="Z411" s="80" t="str">
        <f t="shared" si="5"/>
        <v>#DIV/0!</v>
      </c>
      <c r="AA411" s="81" t="str">
        <f t="shared" si="6"/>
        <v>#DIV/0!</v>
      </c>
      <c r="AB411" s="79">
        <f t="shared" si="7"/>
        <v>-1868.48</v>
      </c>
      <c r="AC411" s="80" t="str">
        <f t="shared" si="8"/>
        <v>#DIV/0!</v>
      </c>
      <c r="AD411" s="81" t="str">
        <f t="shared" si="9"/>
        <v>#DIV/0!</v>
      </c>
      <c r="AE411" s="74">
        <f>P411*(1-I411)*(1+'参数表'!$C$6)*(W411+X411+H411)*1.1+0.4*1.1</f>
        <v>0.44</v>
      </c>
      <c r="AF411" s="74">
        <f t="shared" si="10"/>
        <v>0.44</v>
      </c>
      <c r="AG411" s="29"/>
    </row>
    <row r="412">
      <c r="A412" s="29"/>
      <c r="B412" s="29"/>
      <c r="C412" s="60" t="s">
        <v>1315</v>
      </c>
      <c r="D412" s="29"/>
      <c r="E412" s="29"/>
      <c r="F412" s="29"/>
      <c r="G412" s="37"/>
      <c r="H412" s="68">
        <v>0.05</v>
      </c>
      <c r="I412" s="68">
        <v>0.0</v>
      </c>
      <c r="J412" s="91"/>
      <c r="K412" s="88"/>
      <c r="L412" s="84">
        <v>34.0</v>
      </c>
      <c r="M412" s="84">
        <v>24.0</v>
      </c>
      <c r="N412" s="84">
        <v>2.0</v>
      </c>
      <c r="O412" s="73">
        <f t="shared" si="14"/>
        <v>204</v>
      </c>
      <c r="P412" s="89"/>
      <c r="Q412" s="73">
        <f t="array" ref="Q412">XLOOKUP(K412/1000, '运费（邮政）'!$A$2:$A$21, '运费（邮政）'!$B$2:$B$21, "超出范围", 1)</f>
        <v>880</v>
      </c>
      <c r="R412" s="89"/>
      <c r="S412" s="74">
        <f t="shared" si="2"/>
        <v>6.521126761</v>
      </c>
      <c r="T412" s="75">
        <f t="shared" si="3"/>
        <v>0</v>
      </c>
      <c r="U412" s="76">
        <f t="array" ref="U412">XLOOKUP(O412/1000, '运费（橙联）'!$A$2:$A$57, '运费（橙联）'!$B$2:$B$57, "超出范围", 1)</f>
        <v>1581</v>
      </c>
      <c r="V412" s="77">
        <f>(P412*'参数表'!$C$2*(1+'参数表'!$C$3))*$B$1+'参数表'!$C$4</f>
        <v>225</v>
      </c>
      <c r="W412" s="68">
        <v>0.127</v>
      </c>
      <c r="X412" s="78">
        <v>0.0135</v>
      </c>
      <c r="Y412" s="79">
        <f t="shared" si="4"/>
        <v>-942.48</v>
      </c>
      <c r="Z412" s="80" t="str">
        <f t="shared" si="5"/>
        <v>#DIV/0!</v>
      </c>
      <c r="AA412" s="81" t="str">
        <f t="shared" si="6"/>
        <v>#DIV/0!</v>
      </c>
      <c r="AB412" s="79">
        <f t="shared" si="7"/>
        <v>-1868.48</v>
      </c>
      <c r="AC412" s="80" t="str">
        <f t="shared" si="8"/>
        <v>#DIV/0!</v>
      </c>
      <c r="AD412" s="81" t="str">
        <f t="shared" si="9"/>
        <v>#DIV/0!</v>
      </c>
      <c r="AE412" s="74">
        <f>P412*(1-I412)*(1+'参数表'!$C$6)*(W412+X412+H412)*1.1+0.4*1.1</f>
        <v>0.44</v>
      </c>
      <c r="AF412" s="74">
        <f t="shared" si="10"/>
        <v>0.44</v>
      </c>
      <c r="AG412" s="29"/>
    </row>
    <row r="413">
      <c r="A413" s="29"/>
      <c r="B413" s="29"/>
      <c r="C413" s="60" t="s">
        <v>1316</v>
      </c>
      <c r="D413" s="29"/>
      <c r="E413" s="29"/>
      <c r="F413" s="29"/>
      <c r="G413" s="37"/>
      <c r="H413" s="68">
        <v>0.05</v>
      </c>
      <c r="I413" s="68">
        <v>0.0</v>
      </c>
      <c r="J413" s="91"/>
      <c r="K413" s="88"/>
      <c r="L413" s="84">
        <v>34.0</v>
      </c>
      <c r="M413" s="84">
        <v>24.0</v>
      </c>
      <c r="N413" s="84">
        <v>2.0</v>
      </c>
      <c r="O413" s="73">
        <f t="shared" si="14"/>
        <v>204</v>
      </c>
      <c r="P413" s="89"/>
      <c r="Q413" s="73">
        <f t="array" ref="Q413">XLOOKUP(K413/1000, '运费（邮政）'!$A$2:$A$21, '运费（邮政）'!$B$2:$B$21, "超出范围", 1)</f>
        <v>880</v>
      </c>
      <c r="R413" s="89"/>
      <c r="S413" s="74">
        <f t="shared" si="2"/>
        <v>6.521126761</v>
      </c>
      <c r="T413" s="75">
        <f t="shared" si="3"/>
        <v>0</v>
      </c>
      <c r="U413" s="76">
        <f t="array" ref="U413">XLOOKUP(O413/1000, '运费（橙联）'!$A$2:$A$57, '运费（橙联）'!$B$2:$B$57, "超出范围", 1)</f>
        <v>1581</v>
      </c>
      <c r="V413" s="77">
        <f>(P413*'参数表'!$C$2*(1+'参数表'!$C$3))*$B$1+'参数表'!$C$4</f>
        <v>225</v>
      </c>
      <c r="W413" s="68">
        <v>0.127</v>
      </c>
      <c r="X413" s="78">
        <v>0.0135</v>
      </c>
      <c r="Y413" s="79">
        <f t="shared" si="4"/>
        <v>-942.48</v>
      </c>
      <c r="Z413" s="80" t="str">
        <f t="shared" si="5"/>
        <v>#DIV/0!</v>
      </c>
      <c r="AA413" s="81" t="str">
        <f t="shared" si="6"/>
        <v>#DIV/0!</v>
      </c>
      <c r="AB413" s="79">
        <f t="shared" si="7"/>
        <v>-1868.48</v>
      </c>
      <c r="AC413" s="80" t="str">
        <f t="shared" si="8"/>
        <v>#DIV/0!</v>
      </c>
      <c r="AD413" s="81" t="str">
        <f t="shared" si="9"/>
        <v>#DIV/0!</v>
      </c>
      <c r="AE413" s="74">
        <f>P413*(1-I413)*(1+'参数表'!$C$6)*(W413+X413+H413)*1.1+0.4*1.1</f>
        <v>0.44</v>
      </c>
      <c r="AF413" s="74">
        <f t="shared" si="10"/>
        <v>0.44</v>
      </c>
      <c r="AG413" s="29"/>
    </row>
    <row r="414">
      <c r="A414" s="29"/>
      <c r="B414" s="29"/>
      <c r="C414" s="60" t="s">
        <v>1317</v>
      </c>
      <c r="D414" s="29"/>
      <c r="E414" s="29"/>
      <c r="F414" s="29"/>
      <c r="G414" s="37"/>
      <c r="H414" s="68">
        <v>0.05</v>
      </c>
      <c r="I414" s="68">
        <v>0.0</v>
      </c>
      <c r="J414" s="91"/>
      <c r="K414" s="88"/>
      <c r="L414" s="84">
        <v>34.0</v>
      </c>
      <c r="M414" s="84">
        <v>24.0</v>
      </c>
      <c r="N414" s="84">
        <v>2.0</v>
      </c>
      <c r="O414" s="73">
        <f t="shared" si="14"/>
        <v>204</v>
      </c>
      <c r="P414" s="89"/>
      <c r="Q414" s="73">
        <f t="array" ref="Q414">XLOOKUP(K414/1000, '运费（邮政）'!$A$2:$A$21, '运费（邮政）'!$B$2:$B$21, "超出范围", 1)</f>
        <v>880</v>
      </c>
      <c r="R414" s="89"/>
      <c r="S414" s="74">
        <f t="shared" si="2"/>
        <v>6.521126761</v>
      </c>
      <c r="T414" s="75">
        <f t="shared" si="3"/>
        <v>0</v>
      </c>
      <c r="U414" s="76">
        <f t="array" ref="U414">XLOOKUP(O414/1000, '运费（橙联）'!$A$2:$A$57, '运费（橙联）'!$B$2:$B$57, "超出范围", 1)</f>
        <v>1581</v>
      </c>
      <c r="V414" s="77">
        <f>(P414*'参数表'!$C$2*(1+'参数表'!$C$3))*$B$1+'参数表'!$C$4</f>
        <v>225</v>
      </c>
      <c r="W414" s="68">
        <v>0.127</v>
      </c>
      <c r="X414" s="78">
        <v>0.0135</v>
      </c>
      <c r="Y414" s="79">
        <f t="shared" si="4"/>
        <v>-942.48</v>
      </c>
      <c r="Z414" s="80" t="str">
        <f t="shared" si="5"/>
        <v>#DIV/0!</v>
      </c>
      <c r="AA414" s="81" t="str">
        <f t="shared" si="6"/>
        <v>#DIV/0!</v>
      </c>
      <c r="AB414" s="79">
        <f t="shared" si="7"/>
        <v>-1868.48</v>
      </c>
      <c r="AC414" s="80" t="str">
        <f t="shared" si="8"/>
        <v>#DIV/0!</v>
      </c>
      <c r="AD414" s="81" t="str">
        <f t="shared" si="9"/>
        <v>#DIV/0!</v>
      </c>
      <c r="AE414" s="74">
        <f>P414*(1-I414)*(1+'参数表'!$C$6)*(W414+X414+H414)*1.1+0.4*1.1</f>
        <v>0.44</v>
      </c>
      <c r="AF414" s="74">
        <f t="shared" si="10"/>
        <v>0.44</v>
      </c>
      <c r="AG414" s="29"/>
    </row>
    <row r="415">
      <c r="A415" s="29"/>
      <c r="B415" s="29"/>
      <c r="C415" s="60" t="s">
        <v>1318</v>
      </c>
      <c r="D415" s="29"/>
      <c r="E415" s="29"/>
      <c r="F415" s="29"/>
      <c r="G415" s="37"/>
      <c r="H415" s="68">
        <v>0.05</v>
      </c>
      <c r="I415" s="68">
        <v>0.0</v>
      </c>
      <c r="J415" s="91"/>
      <c r="K415" s="88"/>
      <c r="L415" s="84">
        <v>34.0</v>
      </c>
      <c r="M415" s="84">
        <v>24.0</v>
      </c>
      <c r="N415" s="84">
        <v>2.0</v>
      </c>
      <c r="O415" s="73">
        <f t="shared" si="14"/>
        <v>204</v>
      </c>
      <c r="P415" s="89"/>
      <c r="Q415" s="73">
        <f t="array" ref="Q415">XLOOKUP(K415/1000, '运费（邮政）'!$A$2:$A$21, '运费（邮政）'!$B$2:$B$21, "超出范围", 1)</f>
        <v>880</v>
      </c>
      <c r="R415" s="89"/>
      <c r="S415" s="74">
        <f t="shared" si="2"/>
        <v>6.521126761</v>
      </c>
      <c r="T415" s="75">
        <f t="shared" si="3"/>
        <v>0</v>
      </c>
      <c r="U415" s="76">
        <f t="array" ref="U415">XLOOKUP(O415/1000, '运费（橙联）'!$A$2:$A$57, '运费（橙联）'!$B$2:$B$57, "超出范围", 1)</f>
        <v>1581</v>
      </c>
      <c r="V415" s="77">
        <f>(P415*'参数表'!$C$2*(1+'参数表'!$C$3))*$B$1+'参数表'!$C$4</f>
        <v>225</v>
      </c>
      <c r="W415" s="68">
        <v>0.127</v>
      </c>
      <c r="X415" s="78">
        <v>0.0135</v>
      </c>
      <c r="Y415" s="79">
        <f t="shared" si="4"/>
        <v>-942.48</v>
      </c>
      <c r="Z415" s="80" t="str">
        <f t="shared" si="5"/>
        <v>#DIV/0!</v>
      </c>
      <c r="AA415" s="81" t="str">
        <f t="shared" si="6"/>
        <v>#DIV/0!</v>
      </c>
      <c r="AB415" s="79">
        <f t="shared" si="7"/>
        <v>-1868.48</v>
      </c>
      <c r="AC415" s="80" t="str">
        <f t="shared" si="8"/>
        <v>#DIV/0!</v>
      </c>
      <c r="AD415" s="81" t="str">
        <f t="shared" si="9"/>
        <v>#DIV/0!</v>
      </c>
      <c r="AE415" s="74">
        <f>P415*(1-I415)*(1+'参数表'!$C$6)*(W415+X415+H415)*1.1+0.4*1.1</f>
        <v>0.44</v>
      </c>
      <c r="AF415" s="74">
        <f t="shared" si="10"/>
        <v>0.44</v>
      </c>
      <c r="AG415" s="29"/>
    </row>
    <row r="416">
      <c r="A416" s="29"/>
      <c r="B416" s="29"/>
      <c r="C416" s="60" t="s">
        <v>1319</v>
      </c>
      <c r="D416" s="29"/>
      <c r="E416" s="29"/>
      <c r="F416" s="29"/>
      <c r="G416" s="37"/>
      <c r="H416" s="68">
        <v>0.05</v>
      </c>
      <c r="I416" s="68">
        <v>0.0</v>
      </c>
      <c r="J416" s="91"/>
      <c r="K416" s="88"/>
      <c r="L416" s="84">
        <v>34.0</v>
      </c>
      <c r="M416" s="84">
        <v>24.0</v>
      </c>
      <c r="N416" s="84">
        <v>2.0</v>
      </c>
      <c r="O416" s="73">
        <f t="shared" si="14"/>
        <v>204</v>
      </c>
      <c r="P416" s="89"/>
      <c r="Q416" s="73">
        <f t="array" ref="Q416">XLOOKUP(K416/1000, '运费（邮政）'!$A$2:$A$21, '运费（邮政）'!$B$2:$B$21, "超出范围", 1)</f>
        <v>880</v>
      </c>
      <c r="R416" s="89"/>
      <c r="S416" s="74">
        <f t="shared" si="2"/>
        <v>6.521126761</v>
      </c>
      <c r="T416" s="75">
        <f t="shared" si="3"/>
        <v>0</v>
      </c>
      <c r="U416" s="76">
        <f t="array" ref="U416">XLOOKUP(O416/1000, '运费（橙联）'!$A$2:$A$57, '运费（橙联）'!$B$2:$B$57, "超出范围", 1)</f>
        <v>1581</v>
      </c>
      <c r="V416" s="77">
        <f>(P416*'参数表'!$C$2*(1+'参数表'!$C$3))*$B$1+'参数表'!$C$4</f>
        <v>225</v>
      </c>
      <c r="W416" s="68">
        <v>0.127</v>
      </c>
      <c r="X416" s="78">
        <v>0.0135</v>
      </c>
      <c r="Y416" s="79">
        <f t="shared" si="4"/>
        <v>-942.48</v>
      </c>
      <c r="Z416" s="80" t="str">
        <f t="shared" si="5"/>
        <v>#DIV/0!</v>
      </c>
      <c r="AA416" s="81" t="str">
        <f t="shared" si="6"/>
        <v>#DIV/0!</v>
      </c>
      <c r="AB416" s="79">
        <f t="shared" si="7"/>
        <v>-1868.48</v>
      </c>
      <c r="AC416" s="80" t="str">
        <f t="shared" si="8"/>
        <v>#DIV/0!</v>
      </c>
      <c r="AD416" s="81" t="str">
        <f t="shared" si="9"/>
        <v>#DIV/0!</v>
      </c>
      <c r="AE416" s="74">
        <f>P416*(1-I416)*(1+'参数表'!$C$6)*(W416+X416+H416)*1.1+0.4*1.1</f>
        <v>0.44</v>
      </c>
      <c r="AF416" s="74">
        <f t="shared" si="10"/>
        <v>0.44</v>
      </c>
      <c r="AG416" s="29"/>
    </row>
    <row r="417">
      <c r="A417" s="29"/>
      <c r="B417" s="29"/>
      <c r="C417" s="60" t="s">
        <v>1320</v>
      </c>
      <c r="D417" s="29"/>
      <c r="E417" s="29"/>
      <c r="F417" s="29"/>
      <c r="G417" s="37"/>
      <c r="H417" s="68">
        <v>0.05</v>
      </c>
      <c r="I417" s="68">
        <v>0.0</v>
      </c>
      <c r="J417" s="91"/>
      <c r="K417" s="88"/>
      <c r="L417" s="84">
        <v>34.0</v>
      </c>
      <c r="M417" s="84">
        <v>24.0</v>
      </c>
      <c r="N417" s="84">
        <v>2.0</v>
      </c>
      <c r="O417" s="73">
        <f t="shared" si="14"/>
        <v>204</v>
      </c>
      <c r="P417" s="89"/>
      <c r="Q417" s="73">
        <f t="array" ref="Q417">XLOOKUP(K417/1000, '运费（邮政）'!$A$2:$A$21, '运费（邮政）'!$B$2:$B$21, "超出范围", 1)</f>
        <v>880</v>
      </c>
      <c r="R417" s="89"/>
      <c r="S417" s="74">
        <f t="shared" si="2"/>
        <v>6.521126761</v>
      </c>
      <c r="T417" s="75">
        <f t="shared" si="3"/>
        <v>0</v>
      </c>
      <c r="U417" s="76">
        <f t="array" ref="U417">XLOOKUP(O417/1000, '运费（橙联）'!$A$2:$A$57, '运费（橙联）'!$B$2:$B$57, "超出范围", 1)</f>
        <v>1581</v>
      </c>
      <c r="V417" s="77">
        <f>(P417*'参数表'!$C$2*(1+'参数表'!$C$3))*$B$1+'参数表'!$C$4</f>
        <v>225</v>
      </c>
      <c r="W417" s="68">
        <v>0.127</v>
      </c>
      <c r="X417" s="78">
        <v>0.0135</v>
      </c>
      <c r="Y417" s="79">
        <f t="shared" si="4"/>
        <v>-942.48</v>
      </c>
      <c r="Z417" s="80" t="str">
        <f t="shared" si="5"/>
        <v>#DIV/0!</v>
      </c>
      <c r="AA417" s="81" t="str">
        <f t="shared" si="6"/>
        <v>#DIV/0!</v>
      </c>
      <c r="AB417" s="79">
        <f t="shared" si="7"/>
        <v>-1868.48</v>
      </c>
      <c r="AC417" s="80" t="str">
        <f t="shared" si="8"/>
        <v>#DIV/0!</v>
      </c>
      <c r="AD417" s="81" t="str">
        <f t="shared" si="9"/>
        <v>#DIV/0!</v>
      </c>
      <c r="AE417" s="74">
        <f>P417*(1-I417)*(1+'参数表'!$C$6)*(W417+X417+H417)*1.1+0.4*1.1</f>
        <v>0.44</v>
      </c>
      <c r="AF417" s="74">
        <f t="shared" si="10"/>
        <v>0.44</v>
      </c>
      <c r="AG417" s="29"/>
    </row>
    <row r="418">
      <c r="A418" s="29"/>
      <c r="B418" s="29"/>
      <c r="C418" s="60" t="s">
        <v>1321</v>
      </c>
      <c r="D418" s="29"/>
      <c r="E418" s="29"/>
      <c r="F418" s="29"/>
      <c r="G418" s="37"/>
      <c r="H418" s="68">
        <v>0.05</v>
      </c>
      <c r="I418" s="68">
        <v>0.0</v>
      </c>
      <c r="J418" s="91"/>
      <c r="K418" s="88"/>
      <c r="L418" s="84">
        <v>34.0</v>
      </c>
      <c r="M418" s="84">
        <v>24.0</v>
      </c>
      <c r="N418" s="84">
        <v>2.0</v>
      </c>
      <c r="O418" s="73">
        <f t="shared" si="14"/>
        <v>204</v>
      </c>
      <c r="P418" s="89"/>
      <c r="Q418" s="73">
        <f t="array" ref="Q418">XLOOKUP(K418/1000, '运费（邮政）'!$A$2:$A$21, '运费（邮政）'!$B$2:$B$21, "超出范围", 1)</f>
        <v>880</v>
      </c>
      <c r="R418" s="89"/>
      <c r="S418" s="74">
        <f t="shared" si="2"/>
        <v>6.521126761</v>
      </c>
      <c r="T418" s="75">
        <f t="shared" si="3"/>
        <v>0</v>
      </c>
      <c r="U418" s="76">
        <f t="array" ref="U418">XLOOKUP(O418/1000, '运费（橙联）'!$A$2:$A$57, '运费（橙联）'!$B$2:$B$57, "超出范围", 1)</f>
        <v>1581</v>
      </c>
      <c r="V418" s="77">
        <f>(P418*'参数表'!$C$2*(1+'参数表'!$C$3))*$B$1+'参数表'!$C$4</f>
        <v>225</v>
      </c>
      <c r="W418" s="68">
        <v>0.127</v>
      </c>
      <c r="X418" s="78">
        <v>0.0135</v>
      </c>
      <c r="Y418" s="79">
        <f t="shared" si="4"/>
        <v>-942.48</v>
      </c>
      <c r="Z418" s="80" t="str">
        <f t="shared" si="5"/>
        <v>#DIV/0!</v>
      </c>
      <c r="AA418" s="81" t="str">
        <f t="shared" si="6"/>
        <v>#DIV/0!</v>
      </c>
      <c r="AB418" s="79">
        <f t="shared" si="7"/>
        <v>-1868.48</v>
      </c>
      <c r="AC418" s="80" t="str">
        <f t="shared" si="8"/>
        <v>#DIV/0!</v>
      </c>
      <c r="AD418" s="81" t="str">
        <f t="shared" si="9"/>
        <v>#DIV/0!</v>
      </c>
      <c r="AE418" s="74">
        <f>P418*(1-I418)*(1+'参数表'!$C$6)*(W418+X418+H418)*1.1+0.4*1.1</f>
        <v>0.44</v>
      </c>
      <c r="AF418" s="74">
        <f t="shared" si="10"/>
        <v>0.44</v>
      </c>
      <c r="AG418" s="29"/>
    </row>
    <row r="419">
      <c r="A419" s="29"/>
      <c r="B419" s="29"/>
      <c r="C419" s="60" t="s">
        <v>1322</v>
      </c>
      <c r="D419" s="29"/>
      <c r="E419" s="29"/>
      <c r="F419" s="29"/>
      <c r="G419" s="37"/>
      <c r="H419" s="68">
        <v>0.05</v>
      </c>
      <c r="I419" s="68">
        <v>0.0</v>
      </c>
      <c r="J419" s="91"/>
      <c r="K419" s="88"/>
      <c r="L419" s="84">
        <v>34.0</v>
      </c>
      <c r="M419" s="84">
        <v>24.0</v>
      </c>
      <c r="N419" s="84">
        <v>2.0</v>
      </c>
      <c r="O419" s="73">
        <f t="shared" si="14"/>
        <v>204</v>
      </c>
      <c r="P419" s="89"/>
      <c r="Q419" s="73">
        <f t="array" ref="Q419">XLOOKUP(K419/1000, '运费（邮政）'!$A$2:$A$21, '运费（邮政）'!$B$2:$B$21, "超出范围", 1)</f>
        <v>880</v>
      </c>
      <c r="R419" s="89"/>
      <c r="S419" s="74">
        <f t="shared" si="2"/>
        <v>6.521126761</v>
      </c>
      <c r="T419" s="75">
        <f t="shared" si="3"/>
        <v>0</v>
      </c>
      <c r="U419" s="76">
        <f t="array" ref="U419">XLOOKUP(O419/1000, '运费（橙联）'!$A$2:$A$57, '运费（橙联）'!$B$2:$B$57, "超出范围", 1)</f>
        <v>1581</v>
      </c>
      <c r="V419" s="77">
        <f>(P419*'参数表'!$C$2*(1+'参数表'!$C$3))*$B$1+'参数表'!$C$4</f>
        <v>225</v>
      </c>
      <c r="W419" s="68">
        <v>0.127</v>
      </c>
      <c r="X419" s="78">
        <v>0.0135</v>
      </c>
      <c r="Y419" s="79">
        <f t="shared" si="4"/>
        <v>-942.48</v>
      </c>
      <c r="Z419" s="80" t="str">
        <f t="shared" si="5"/>
        <v>#DIV/0!</v>
      </c>
      <c r="AA419" s="81" t="str">
        <f t="shared" si="6"/>
        <v>#DIV/0!</v>
      </c>
      <c r="AB419" s="79">
        <f t="shared" si="7"/>
        <v>-1868.48</v>
      </c>
      <c r="AC419" s="80" t="str">
        <f t="shared" si="8"/>
        <v>#DIV/0!</v>
      </c>
      <c r="AD419" s="81" t="str">
        <f t="shared" si="9"/>
        <v>#DIV/0!</v>
      </c>
      <c r="AE419" s="74">
        <f>P419*(1-I419)*(1+'参数表'!$C$6)*(W419+X419+H419)*1.1+0.4*1.1</f>
        <v>0.44</v>
      </c>
      <c r="AF419" s="74">
        <f t="shared" si="10"/>
        <v>0.44</v>
      </c>
      <c r="AG419" s="29"/>
    </row>
    <row r="420">
      <c r="A420" s="29"/>
      <c r="B420" s="29"/>
      <c r="C420" s="60" t="s">
        <v>1323</v>
      </c>
      <c r="D420" s="29"/>
      <c r="E420" s="29"/>
      <c r="F420" s="29"/>
      <c r="G420" s="37"/>
      <c r="H420" s="68">
        <v>0.05</v>
      </c>
      <c r="I420" s="68">
        <v>0.0</v>
      </c>
      <c r="J420" s="91"/>
      <c r="K420" s="88"/>
      <c r="L420" s="84">
        <v>34.0</v>
      </c>
      <c r="M420" s="84">
        <v>24.0</v>
      </c>
      <c r="N420" s="84">
        <v>2.0</v>
      </c>
      <c r="O420" s="73">
        <f t="shared" si="14"/>
        <v>204</v>
      </c>
      <c r="P420" s="89"/>
      <c r="Q420" s="73">
        <f t="array" ref="Q420">XLOOKUP(K420/1000, '运费（邮政）'!$A$2:$A$21, '运费（邮政）'!$B$2:$B$21, "超出范围", 1)</f>
        <v>880</v>
      </c>
      <c r="R420" s="89"/>
      <c r="S420" s="74">
        <f t="shared" si="2"/>
        <v>6.521126761</v>
      </c>
      <c r="T420" s="75">
        <f t="shared" si="3"/>
        <v>0</v>
      </c>
      <c r="U420" s="76">
        <f t="array" ref="U420">XLOOKUP(O420/1000, '运费（橙联）'!$A$2:$A$57, '运费（橙联）'!$B$2:$B$57, "超出范围", 1)</f>
        <v>1581</v>
      </c>
      <c r="V420" s="77">
        <f>(P420*'参数表'!$C$2*(1+'参数表'!$C$3))*$B$1+'参数表'!$C$4</f>
        <v>225</v>
      </c>
      <c r="W420" s="68">
        <v>0.127</v>
      </c>
      <c r="X420" s="78">
        <v>0.0135</v>
      </c>
      <c r="Y420" s="79">
        <f t="shared" si="4"/>
        <v>-942.48</v>
      </c>
      <c r="Z420" s="80" t="str">
        <f t="shared" si="5"/>
        <v>#DIV/0!</v>
      </c>
      <c r="AA420" s="81" t="str">
        <f t="shared" si="6"/>
        <v>#DIV/0!</v>
      </c>
      <c r="AB420" s="79">
        <f t="shared" si="7"/>
        <v>-1868.48</v>
      </c>
      <c r="AC420" s="80" t="str">
        <f t="shared" si="8"/>
        <v>#DIV/0!</v>
      </c>
      <c r="AD420" s="81" t="str">
        <f t="shared" si="9"/>
        <v>#DIV/0!</v>
      </c>
      <c r="AE420" s="74">
        <f>P420*(1-I420)*(1+'参数表'!$C$6)*(W420+X420+H420)*1.1+0.4*1.1</f>
        <v>0.44</v>
      </c>
      <c r="AF420" s="74">
        <f t="shared" si="10"/>
        <v>0.44</v>
      </c>
      <c r="AG420" s="29"/>
    </row>
    <row r="421">
      <c r="A421" s="29"/>
      <c r="B421" s="29"/>
      <c r="C421" s="60" t="s">
        <v>1324</v>
      </c>
      <c r="D421" s="29"/>
      <c r="E421" s="29"/>
      <c r="F421" s="29"/>
      <c r="G421" s="37"/>
      <c r="H421" s="68">
        <v>0.05</v>
      </c>
      <c r="I421" s="68">
        <v>0.0</v>
      </c>
      <c r="J421" s="91"/>
      <c r="K421" s="88"/>
      <c r="L421" s="84">
        <v>34.0</v>
      </c>
      <c r="M421" s="84">
        <v>24.0</v>
      </c>
      <c r="N421" s="84">
        <v>2.0</v>
      </c>
      <c r="O421" s="73">
        <f t="shared" si="14"/>
        <v>204</v>
      </c>
      <c r="P421" s="89"/>
      <c r="Q421" s="73">
        <f t="array" ref="Q421">XLOOKUP(K421/1000, '运费（邮政）'!$A$2:$A$21, '运费（邮政）'!$B$2:$B$21, "超出范围", 1)</f>
        <v>880</v>
      </c>
      <c r="R421" s="89"/>
      <c r="S421" s="74">
        <f t="shared" si="2"/>
        <v>6.521126761</v>
      </c>
      <c r="T421" s="75">
        <f t="shared" si="3"/>
        <v>0</v>
      </c>
      <c r="U421" s="76">
        <f t="array" ref="U421">XLOOKUP(O421/1000, '运费（橙联）'!$A$2:$A$57, '运费（橙联）'!$B$2:$B$57, "超出范围", 1)</f>
        <v>1581</v>
      </c>
      <c r="V421" s="77">
        <f>(P421*'参数表'!$C$2*(1+'参数表'!$C$3))*$B$1+'参数表'!$C$4</f>
        <v>225</v>
      </c>
      <c r="W421" s="68">
        <v>0.127</v>
      </c>
      <c r="X421" s="78">
        <v>0.0135</v>
      </c>
      <c r="Y421" s="79">
        <f t="shared" si="4"/>
        <v>-942.48</v>
      </c>
      <c r="Z421" s="80" t="str">
        <f t="shared" si="5"/>
        <v>#DIV/0!</v>
      </c>
      <c r="AA421" s="81" t="str">
        <f t="shared" si="6"/>
        <v>#DIV/0!</v>
      </c>
      <c r="AB421" s="79">
        <f t="shared" si="7"/>
        <v>-1868.48</v>
      </c>
      <c r="AC421" s="80" t="str">
        <f t="shared" si="8"/>
        <v>#DIV/0!</v>
      </c>
      <c r="AD421" s="81" t="str">
        <f t="shared" si="9"/>
        <v>#DIV/0!</v>
      </c>
      <c r="AE421" s="74">
        <f>P421*(1-I421)*(1+'参数表'!$C$6)*(W421+X421+H421)*1.1+0.4*1.1</f>
        <v>0.44</v>
      </c>
      <c r="AF421" s="74">
        <f t="shared" si="10"/>
        <v>0.44</v>
      </c>
      <c r="AG421" s="29"/>
    </row>
    <row r="422">
      <c r="A422" s="29"/>
      <c r="B422" s="29"/>
      <c r="C422" s="60" t="s">
        <v>1325</v>
      </c>
      <c r="D422" s="29"/>
      <c r="E422" s="29"/>
      <c r="F422" s="29"/>
      <c r="G422" s="37"/>
      <c r="H422" s="68">
        <v>0.05</v>
      </c>
      <c r="I422" s="68">
        <v>0.0</v>
      </c>
      <c r="J422" s="91"/>
      <c r="K422" s="88"/>
      <c r="L422" s="84">
        <v>34.0</v>
      </c>
      <c r="M422" s="84">
        <v>24.0</v>
      </c>
      <c r="N422" s="84">
        <v>2.0</v>
      </c>
      <c r="O422" s="73">
        <f t="shared" si="14"/>
        <v>204</v>
      </c>
      <c r="P422" s="89"/>
      <c r="Q422" s="73">
        <f t="array" ref="Q422">XLOOKUP(K422/1000, '运费（邮政）'!$A$2:$A$21, '运费（邮政）'!$B$2:$B$21, "超出范围", 1)</f>
        <v>880</v>
      </c>
      <c r="R422" s="89"/>
      <c r="S422" s="74">
        <f t="shared" si="2"/>
        <v>6.521126761</v>
      </c>
      <c r="T422" s="75">
        <f t="shared" si="3"/>
        <v>0</v>
      </c>
      <c r="U422" s="76">
        <f t="array" ref="U422">XLOOKUP(O422/1000, '运费（橙联）'!$A$2:$A$57, '运费（橙联）'!$B$2:$B$57, "超出范围", 1)</f>
        <v>1581</v>
      </c>
      <c r="V422" s="77">
        <f>(P422*'参数表'!$C$2*(1+'参数表'!$C$3))*$B$1+'参数表'!$C$4</f>
        <v>225</v>
      </c>
      <c r="W422" s="68">
        <v>0.127</v>
      </c>
      <c r="X422" s="78">
        <v>0.0135</v>
      </c>
      <c r="Y422" s="79">
        <f t="shared" si="4"/>
        <v>-942.48</v>
      </c>
      <c r="Z422" s="80" t="str">
        <f t="shared" si="5"/>
        <v>#DIV/0!</v>
      </c>
      <c r="AA422" s="81" t="str">
        <f t="shared" si="6"/>
        <v>#DIV/0!</v>
      </c>
      <c r="AB422" s="79">
        <f t="shared" si="7"/>
        <v>-1868.48</v>
      </c>
      <c r="AC422" s="80" t="str">
        <f t="shared" si="8"/>
        <v>#DIV/0!</v>
      </c>
      <c r="AD422" s="81" t="str">
        <f t="shared" si="9"/>
        <v>#DIV/0!</v>
      </c>
      <c r="AE422" s="74">
        <f>P422*(1-I422)*(1+'参数表'!$C$6)*(W422+X422+H422)*1.1+0.4*1.1</f>
        <v>0.44</v>
      </c>
      <c r="AF422" s="74">
        <f t="shared" si="10"/>
        <v>0.44</v>
      </c>
      <c r="AG422" s="29"/>
    </row>
    <row r="423">
      <c r="A423" s="29"/>
      <c r="B423" s="29"/>
      <c r="C423" s="60" t="s">
        <v>1326</v>
      </c>
      <c r="D423" s="29"/>
      <c r="E423" s="29"/>
      <c r="F423" s="29"/>
      <c r="G423" s="37"/>
      <c r="H423" s="68">
        <v>0.05</v>
      </c>
      <c r="I423" s="68">
        <v>0.0</v>
      </c>
      <c r="J423" s="91"/>
      <c r="K423" s="88"/>
      <c r="L423" s="84">
        <v>34.0</v>
      </c>
      <c r="M423" s="84">
        <v>24.0</v>
      </c>
      <c r="N423" s="84">
        <v>2.0</v>
      </c>
      <c r="O423" s="73">
        <f t="shared" si="14"/>
        <v>204</v>
      </c>
      <c r="P423" s="89"/>
      <c r="Q423" s="73">
        <f t="array" ref="Q423">XLOOKUP(K423/1000, '运费（邮政）'!$A$2:$A$21, '运费（邮政）'!$B$2:$B$21, "超出范围", 1)</f>
        <v>880</v>
      </c>
      <c r="R423" s="89"/>
      <c r="S423" s="74">
        <f t="shared" si="2"/>
        <v>6.521126761</v>
      </c>
      <c r="T423" s="75">
        <f t="shared" si="3"/>
        <v>0</v>
      </c>
      <c r="U423" s="76">
        <f t="array" ref="U423">XLOOKUP(O423/1000, '运费（橙联）'!$A$2:$A$57, '运费（橙联）'!$B$2:$B$57, "超出范围", 1)</f>
        <v>1581</v>
      </c>
      <c r="V423" s="77">
        <f>(P423*'参数表'!$C$2*(1+'参数表'!$C$3))*$B$1+'参数表'!$C$4</f>
        <v>225</v>
      </c>
      <c r="W423" s="68">
        <v>0.127</v>
      </c>
      <c r="X423" s="78">
        <v>0.0135</v>
      </c>
      <c r="Y423" s="79">
        <f t="shared" si="4"/>
        <v>-942.48</v>
      </c>
      <c r="Z423" s="80" t="str">
        <f t="shared" si="5"/>
        <v>#DIV/0!</v>
      </c>
      <c r="AA423" s="81" t="str">
        <f t="shared" si="6"/>
        <v>#DIV/0!</v>
      </c>
      <c r="AB423" s="79">
        <f t="shared" si="7"/>
        <v>-1868.48</v>
      </c>
      <c r="AC423" s="80" t="str">
        <f t="shared" si="8"/>
        <v>#DIV/0!</v>
      </c>
      <c r="AD423" s="81" t="str">
        <f t="shared" si="9"/>
        <v>#DIV/0!</v>
      </c>
      <c r="AE423" s="74">
        <f>P423*(1-I423)*(1+'参数表'!$C$6)*(W423+X423+H423)*1.1+0.4*1.1</f>
        <v>0.44</v>
      </c>
      <c r="AF423" s="74">
        <f t="shared" si="10"/>
        <v>0.44</v>
      </c>
      <c r="AG423" s="29"/>
    </row>
    <row r="424">
      <c r="A424" s="29"/>
      <c r="B424" s="29"/>
      <c r="C424" s="60" t="s">
        <v>1327</v>
      </c>
      <c r="D424" s="29"/>
      <c r="E424" s="29"/>
      <c r="F424" s="29"/>
      <c r="G424" s="37"/>
      <c r="H424" s="68">
        <v>0.05</v>
      </c>
      <c r="I424" s="68">
        <v>0.0</v>
      </c>
      <c r="J424" s="91"/>
      <c r="K424" s="88"/>
      <c r="L424" s="84">
        <v>34.0</v>
      </c>
      <c r="M424" s="84">
        <v>24.0</v>
      </c>
      <c r="N424" s="84">
        <v>2.0</v>
      </c>
      <c r="O424" s="73">
        <f t="shared" si="14"/>
        <v>204</v>
      </c>
      <c r="P424" s="89"/>
      <c r="Q424" s="73">
        <f t="array" ref="Q424">XLOOKUP(K424/1000, '运费（邮政）'!$A$2:$A$21, '运费（邮政）'!$B$2:$B$21, "超出范围", 1)</f>
        <v>880</v>
      </c>
      <c r="R424" s="89"/>
      <c r="S424" s="74">
        <f t="shared" si="2"/>
        <v>6.521126761</v>
      </c>
      <c r="T424" s="75">
        <f t="shared" si="3"/>
        <v>0</v>
      </c>
      <c r="U424" s="76">
        <f t="array" ref="U424">XLOOKUP(O424/1000, '运费（橙联）'!$A$2:$A$57, '运费（橙联）'!$B$2:$B$57, "超出范围", 1)</f>
        <v>1581</v>
      </c>
      <c r="V424" s="77">
        <f>(P424*'参数表'!$C$2*(1+'参数表'!$C$3))*$B$1+'参数表'!$C$4</f>
        <v>225</v>
      </c>
      <c r="W424" s="68">
        <v>0.127</v>
      </c>
      <c r="X424" s="78">
        <v>0.0135</v>
      </c>
      <c r="Y424" s="79">
        <f t="shared" si="4"/>
        <v>-942.48</v>
      </c>
      <c r="Z424" s="80" t="str">
        <f t="shared" si="5"/>
        <v>#DIV/0!</v>
      </c>
      <c r="AA424" s="81" t="str">
        <f t="shared" si="6"/>
        <v>#DIV/0!</v>
      </c>
      <c r="AB424" s="79">
        <f t="shared" si="7"/>
        <v>-1868.48</v>
      </c>
      <c r="AC424" s="80" t="str">
        <f t="shared" si="8"/>
        <v>#DIV/0!</v>
      </c>
      <c r="AD424" s="81" t="str">
        <f t="shared" si="9"/>
        <v>#DIV/0!</v>
      </c>
      <c r="AE424" s="74">
        <f>P424*(1-I424)*(1+'参数表'!$C$6)*(W424+X424+H424)*1.1+0.4*1.1</f>
        <v>0.44</v>
      </c>
      <c r="AF424" s="74">
        <f t="shared" si="10"/>
        <v>0.44</v>
      </c>
      <c r="AG424" s="29"/>
    </row>
    <row r="425">
      <c r="A425" s="29"/>
      <c r="B425" s="29"/>
      <c r="C425" s="60" t="s">
        <v>1328</v>
      </c>
      <c r="D425" s="29"/>
      <c r="E425" s="29"/>
      <c r="F425" s="29"/>
      <c r="G425" s="37"/>
      <c r="H425" s="68">
        <v>0.05</v>
      </c>
      <c r="I425" s="68">
        <v>0.0</v>
      </c>
      <c r="J425" s="91"/>
      <c r="K425" s="88"/>
      <c r="L425" s="84">
        <v>34.0</v>
      </c>
      <c r="M425" s="84">
        <v>24.0</v>
      </c>
      <c r="N425" s="84">
        <v>2.0</v>
      </c>
      <c r="O425" s="73">
        <f t="shared" si="14"/>
        <v>204</v>
      </c>
      <c r="P425" s="89"/>
      <c r="Q425" s="73">
        <f t="array" ref="Q425">XLOOKUP(K425/1000, '运费（邮政）'!$A$2:$A$21, '运费（邮政）'!$B$2:$B$21, "超出范围", 1)</f>
        <v>880</v>
      </c>
      <c r="R425" s="89"/>
      <c r="S425" s="74">
        <f t="shared" si="2"/>
        <v>6.521126761</v>
      </c>
      <c r="T425" s="75">
        <f t="shared" si="3"/>
        <v>0</v>
      </c>
      <c r="U425" s="76">
        <f t="array" ref="U425">XLOOKUP(O425/1000, '运费（橙联）'!$A$2:$A$57, '运费（橙联）'!$B$2:$B$57, "超出范围", 1)</f>
        <v>1581</v>
      </c>
      <c r="V425" s="77">
        <f>(P425*'参数表'!$C$2*(1+'参数表'!$C$3))*$B$1+'参数表'!$C$4</f>
        <v>225</v>
      </c>
      <c r="W425" s="68">
        <v>0.127</v>
      </c>
      <c r="X425" s="78">
        <v>0.0135</v>
      </c>
      <c r="Y425" s="79">
        <f t="shared" si="4"/>
        <v>-942.48</v>
      </c>
      <c r="Z425" s="80" t="str">
        <f t="shared" si="5"/>
        <v>#DIV/0!</v>
      </c>
      <c r="AA425" s="81" t="str">
        <f t="shared" si="6"/>
        <v>#DIV/0!</v>
      </c>
      <c r="AB425" s="79">
        <f t="shared" si="7"/>
        <v>-1868.48</v>
      </c>
      <c r="AC425" s="80" t="str">
        <f t="shared" si="8"/>
        <v>#DIV/0!</v>
      </c>
      <c r="AD425" s="81" t="str">
        <f t="shared" si="9"/>
        <v>#DIV/0!</v>
      </c>
      <c r="AE425" s="74">
        <f>P425*(1-I425)*(1+'参数表'!$C$6)*(W425+X425+H425)*1.1+0.4*1.1</f>
        <v>0.44</v>
      </c>
      <c r="AF425" s="74">
        <f t="shared" si="10"/>
        <v>0.44</v>
      </c>
      <c r="AG425" s="29"/>
    </row>
    <row r="426">
      <c r="A426" s="29"/>
      <c r="B426" s="29"/>
      <c r="C426" s="60" t="s">
        <v>1329</v>
      </c>
      <c r="D426" s="29"/>
      <c r="E426" s="29"/>
      <c r="F426" s="29"/>
      <c r="G426" s="37"/>
      <c r="H426" s="68">
        <v>0.05</v>
      </c>
      <c r="I426" s="68">
        <v>0.0</v>
      </c>
      <c r="J426" s="91"/>
      <c r="K426" s="88"/>
      <c r="L426" s="84">
        <v>34.0</v>
      </c>
      <c r="M426" s="84">
        <v>24.0</v>
      </c>
      <c r="N426" s="84">
        <v>2.0</v>
      </c>
      <c r="O426" s="73">
        <f t="shared" si="14"/>
        <v>204</v>
      </c>
      <c r="P426" s="89"/>
      <c r="Q426" s="73">
        <f t="array" ref="Q426">XLOOKUP(K426/1000, '运费（邮政）'!$A$2:$A$21, '运费（邮政）'!$B$2:$B$21, "超出范围", 1)</f>
        <v>880</v>
      </c>
      <c r="R426" s="89"/>
      <c r="S426" s="74">
        <f t="shared" si="2"/>
        <v>6.521126761</v>
      </c>
      <c r="T426" s="75">
        <f t="shared" si="3"/>
        <v>0</v>
      </c>
      <c r="U426" s="76">
        <f t="array" ref="U426">XLOOKUP(O426/1000, '运费（橙联）'!$A$2:$A$57, '运费（橙联）'!$B$2:$B$57, "超出范围", 1)</f>
        <v>1581</v>
      </c>
      <c r="V426" s="77">
        <f>(P426*'参数表'!$C$2*(1+'参数表'!$C$3))*$B$1+'参数表'!$C$4</f>
        <v>225</v>
      </c>
      <c r="W426" s="68">
        <v>0.127</v>
      </c>
      <c r="X426" s="78">
        <v>0.0135</v>
      </c>
      <c r="Y426" s="79">
        <f t="shared" si="4"/>
        <v>-942.48</v>
      </c>
      <c r="Z426" s="80" t="str">
        <f t="shared" si="5"/>
        <v>#DIV/0!</v>
      </c>
      <c r="AA426" s="81" t="str">
        <f t="shared" si="6"/>
        <v>#DIV/0!</v>
      </c>
      <c r="AB426" s="79">
        <f t="shared" si="7"/>
        <v>-1868.48</v>
      </c>
      <c r="AC426" s="80" t="str">
        <f t="shared" si="8"/>
        <v>#DIV/0!</v>
      </c>
      <c r="AD426" s="81" t="str">
        <f t="shared" si="9"/>
        <v>#DIV/0!</v>
      </c>
      <c r="AE426" s="74">
        <f>P426*(1-I426)*(1+'参数表'!$C$6)*(W426+X426+H426)*1.1+0.4*1.1</f>
        <v>0.44</v>
      </c>
      <c r="AF426" s="74">
        <f t="shared" si="10"/>
        <v>0.44</v>
      </c>
      <c r="AG426" s="29"/>
    </row>
    <row r="427">
      <c r="A427" s="29"/>
      <c r="B427" s="29"/>
      <c r="C427" s="60" t="s">
        <v>1330</v>
      </c>
      <c r="D427" s="29"/>
      <c r="E427" s="29"/>
      <c r="F427" s="29"/>
      <c r="G427" s="37"/>
      <c r="H427" s="68">
        <v>0.05</v>
      </c>
      <c r="I427" s="68">
        <v>0.0</v>
      </c>
      <c r="J427" s="91"/>
      <c r="K427" s="88"/>
      <c r="L427" s="84">
        <v>34.0</v>
      </c>
      <c r="M427" s="84">
        <v>24.0</v>
      </c>
      <c r="N427" s="84">
        <v>2.0</v>
      </c>
      <c r="O427" s="73">
        <f t="shared" si="14"/>
        <v>204</v>
      </c>
      <c r="P427" s="89"/>
      <c r="Q427" s="73">
        <f t="array" ref="Q427">XLOOKUP(K427/1000, '运费（邮政）'!$A$2:$A$21, '运费（邮政）'!$B$2:$B$21, "超出范围", 1)</f>
        <v>880</v>
      </c>
      <c r="R427" s="89"/>
      <c r="S427" s="74">
        <f t="shared" si="2"/>
        <v>6.521126761</v>
      </c>
      <c r="T427" s="75">
        <f t="shared" si="3"/>
        <v>0</v>
      </c>
      <c r="U427" s="76">
        <f t="array" ref="U427">XLOOKUP(O427/1000, '运费（橙联）'!$A$2:$A$57, '运费（橙联）'!$B$2:$B$57, "超出范围", 1)</f>
        <v>1581</v>
      </c>
      <c r="V427" s="77">
        <f>(P427*'参数表'!$C$2*(1+'参数表'!$C$3))*$B$1+'参数表'!$C$4</f>
        <v>225</v>
      </c>
      <c r="W427" s="68">
        <v>0.127</v>
      </c>
      <c r="X427" s="78">
        <v>0.0135</v>
      </c>
      <c r="Y427" s="79">
        <f t="shared" si="4"/>
        <v>-942.48</v>
      </c>
      <c r="Z427" s="80" t="str">
        <f t="shared" si="5"/>
        <v>#DIV/0!</v>
      </c>
      <c r="AA427" s="81" t="str">
        <f t="shared" si="6"/>
        <v>#DIV/0!</v>
      </c>
      <c r="AB427" s="79">
        <f t="shared" si="7"/>
        <v>-1868.48</v>
      </c>
      <c r="AC427" s="80" t="str">
        <f t="shared" si="8"/>
        <v>#DIV/0!</v>
      </c>
      <c r="AD427" s="81" t="str">
        <f t="shared" si="9"/>
        <v>#DIV/0!</v>
      </c>
      <c r="AE427" s="74">
        <f>P427*(1-I427)*(1+'参数表'!$C$6)*(W427+X427+H427)*1.1+0.4*1.1</f>
        <v>0.44</v>
      </c>
      <c r="AF427" s="74">
        <f t="shared" si="10"/>
        <v>0.44</v>
      </c>
      <c r="AG427" s="29"/>
    </row>
    <row r="428">
      <c r="A428" s="29"/>
      <c r="B428" s="29"/>
      <c r="C428" s="60" t="s">
        <v>1331</v>
      </c>
      <c r="D428" s="29"/>
      <c r="E428" s="29"/>
      <c r="F428" s="29"/>
      <c r="G428" s="37"/>
      <c r="H428" s="68">
        <v>0.05</v>
      </c>
      <c r="I428" s="68">
        <v>0.0</v>
      </c>
      <c r="J428" s="91"/>
      <c r="K428" s="88"/>
      <c r="L428" s="84">
        <v>34.0</v>
      </c>
      <c r="M428" s="84">
        <v>24.0</v>
      </c>
      <c r="N428" s="84">
        <v>2.0</v>
      </c>
      <c r="O428" s="73">
        <f t="shared" si="14"/>
        <v>204</v>
      </c>
      <c r="P428" s="89"/>
      <c r="Q428" s="73">
        <f t="array" ref="Q428">XLOOKUP(K428/1000, '运费（邮政）'!$A$2:$A$21, '运费（邮政）'!$B$2:$B$21, "超出范围", 1)</f>
        <v>880</v>
      </c>
      <c r="R428" s="89"/>
      <c r="S428" s="74">
        <f t="shared" si="2"/>
        <v>6.521126761</v>
      </c>
      <c r="T428" s="75">
        <f t="shared" si="3"/>
        <v>0</v>
      </c>
      <c r="U428" s="76">
        <f t="array" ref="U428">XLOOKUP(O428/1000, '运费（橙联）'!$A$2:$A$57, '运费（橙联）'!$B$2:$B$57, "超出范围", 1)</f>
        <v>1581</v>
      </c>
      <c r="V428" s="77">
        <f>(P428*'参数表'!$C$2*(1+'参数表'!$C$3))*$B$1+'参数表'!$C$4</f>
        <v>225</v>
      </c>
      <c r="W428" s="68">
        <v>0.127</v>
      </c>
      <c r="X428" s="78">
        <v>0.0135</v>
      </c>
      <c r="Y428" s="79">
        <f t="shared" si="4"/>
        <v>-942.48</v>
      </c>
      <c r="Z428" s="80" t="str">
        <f t="shared" si="5"/>
        <v>#DIV/0!</v>
      </c>
      <c r="AA428" s="81" t="str">
        <f t="shared" si="6"/>
        <v>#DIV/0!</v>
      </c>
      <c r="AB428" s="79">
        <f t="shared" si="7"/>
        <v>-1868.48</v>
      </c>
      <c r="AC428" s="80" t="str">
        <f t="shared" si="8"/>
        <v>#DIV/0!</v>
      </c>
      <c r="AD428" s="81" t="str">
        <f t="shared" si="9"/>
        <v>#DIV/0!</v>
      </c>
      <c r="AE428" s="74">
        <f>P428*(1-I428)*(1+'参数表'!$C$6)*(W428+X428+H428)*1.1+0.4*1.1</f>
        <v>0.44</v>
      </c>
      <c r="AF428" s="74">
        <f t="shared" si="10"/>
        <v>0.44</v>
      </c>
      <c r="AG428" s="29"/>
    </row>
    <row r="429">
      <c r="A429" s="29"/>
      <c r="B429" s="29"/>
      <c r="C429" s="60" t="s">
        <v>1332</v>
      </c>
      <c r="D429" s="29"/>
      <c r="E429" s="29"/>
      <c r="F429" s="29"/>
      <c r="G429" s="37"/>
      <c r="H429" s="68">
        <v>0.05</v>
      </c>
      <c r="I429" s="68">
        <v>0.0</v>
      </c>
      <c r="J429" s="91"/>
      <c r="K429" s="88"/>
      <c r="L429" s="84">
        <v>34.0</v>
      </c>
      <c r="M429" s="84">
        <v>24.0</v>
      </c>
      <c r="N429" s="84">
        <v>2.0</v>
      </c>
      <c r="O429" s="73">
        <f t="shared" si="14"/>
        <v>204</v>
      </c>
      <c r="P429" s="89"/>
      <c r="Q429" s="73">
        <f t="array" ref="Q429">XLOOKUP(K429/1000, '运费（邮政）'!$A$2:$A$21, '运费（邮政）'!$B$2:$B$21, "超出范围", 1)</f>
        <v>880</v>
      </c>
      <c r="R429" s="89"/>
      <c r="S429" s="74">
        <f t="shared" si="2"/>
        <v>6.521126761</v>
      </c>
      <c r="T429" s="75">
        <f t="shared" si="3"/>
        <v>0</v>
      </c>
      <c r="U429" s="76">
        <f t="array" ref="U429">XLOOKUP(O429/1000, '运费（橙联）'!$A$2:$A$57, '运费（橙联）'!$B$2:$B$57, "超出范围", 1)</f>
        <v>1581</v>
      </c>
      <c r="V429" s="77">
        <f>(P429*'参数表'!$C$2*(1+'参数表'!$C$3))*$B$1+'参数表'!$C$4</f>
        <v>225</v>
      </c>
      <c r="W429" s="68">
        <v>0.127</v>
      </c>
      <c r="X429" s="78">
        <v>0.0135</v>
      </c>
      <c r="Y429" s="79">
        <f t="shared" si="4"/>
        <v>-942.48</v>
      </c>
      <c r="Z429" s="80" t="str">
        <f t="shared" si="5"/>
        <v>#DIV/0!</v>
      </c>
      <c r="AA429" s="81" t="str">
        <f t="shared" si="6"/>
        <v>#DIV/0!</v>
      </c>
      <c r="AB429" s="79">
        <f t="shared" si="7"/>
        <v>-1868.48</v>
      </c>
      <c r="AC429" s="80" t="str">
        <f t="shared" si="8"/>
        <v>#DIV/0!</v>
      </c>
      <c r="AD429" s="81" t="str">
        <f t="shared" si="9"/>
        <v>#DIV/0!</v>
      </c>
      <c r="AE429" s="74">
        <f>P429*(1-I429)*(1+'参数表'!$C$6)*(W429+X429+H429)*1.1+0.4*1.1</f>
        <v>0.44</v>
      </c>
      <c r="AF429" s="74">
        <f t="shared" si="10"/>
        <v>0.44</v>
      </c>
      <c r="AG429" s="29"/>
    </row>
    <row r="430">
      <c r="A430" s="29"/>
      <c r="B430" s="29"/>
      <c r="C430" s="60" t="s">
        <v>1333</v>
      </c>
      <c r="D430" s="29"/>
      <c r="E430" s="29"/>
      <c r="F430" s="29"/>
      <c r="G430" s="37"/>
      <c r="H430" s="68">
        <v>0.05</v>
      </c>
      <c r="I430" s="68">
        <v>0.0</v>
      </c>
      <c r="J430" s="91"/>
      <c r="K430" s="88"/>
      <c r="L430" s="84">
        <v>34.0</v>
      </c>
      <c r="M430" s="84">
        <v>24.0</v>
      </c>
      <c r="N430" s="84">
        <v>2.0</v>
      </c>
      <c r="O430" s="73">
        <f t="shared" si="14"/>
        <v>204</v>
      </c>
      <c r="P430" s="89"/>
      <c r="Q430" s="73">
        <f t="array" ref="Q430">XLOOKUP(K430/1000, '运费（邮政）'!$A$2:$A$21, '运费（邮政）'!$B$2:$B$21, "超出范围", 1)</f>
        <v>880</v>
      </c>
      <c r="R430" s="89"/>
      <c r="S430" s="74">
        <f t="shared" si="2"/>
        <v>6.521126761</v>
      </c>
      <c r="T430" s="75">
        <f t="shared" si="3"/>
        <v>0</v>
      </c>
      <c r="U430" s="76">
        <f t="array" ref="U430">XLOOKUP(O430/1000, '运费（橙联）'!$A$2:$A$57, '运费（橙联）'!$B$2:$B$57, "超出范围", 1)</f>
        <v>1581</v>
      </c>
      <c r="V430" s="77">
        <f>(P430*'参数表'!$C$2*(1+'参数表'!$C$3))*$B$1+'参数表'!$C$4</f>
        <v>225</v>
      </c>
      <c r="W430" s="68">
        <v>0.127</v>
      </c>
      <c r="X430" s="78">
        <v>0.0135</v>
      </c>
      <c r="Y430" s="79">
        <f t="shared" si="4"/>
        <v>-942.48</v>
      </c>
      <c r="Z430" s="80" t="str">
        <f t="shared" si="5"/>
        <v>#DIV/0!</v>
      </c>
      <c r="AA430" s="81" t="str">
        <f t="shared" si="6"/>
        <v>#DIV/0!</v>
      </c>
      <c r="AB430" s="79">
        <f t="shared" si="7"/>
        <v>-1868.48</v>
      </c>
      <c r="AC430" s="80" t="str">
        <f t="shared" si="8"/>
        <v>#DIV/0!</v>
      </c>
      <c r="AD430" s="81" t="str">
        <f t="shared" si="9"/>
        <v>#DIV/0!</v>
      </c>
      <c r="AE430" s="74">
        <f>P430*(1-I430)*(1+'参数表'!$C$6)*(W430+X430+H430)*1.1+0.4*1.1</f>
        <v>0.44</v>
      </c>
      <c r="AF430" s="74">
        <f t="shared" si="10"/>
        <v>0.44</v>
      </c>
      <c r="AG430" s="29"/>
    </row>
    <row r="431">
      <c r="A431" s="29"/>
      <c r="B431" s="29"/>
      <c r="C431" s="60" t="s">
        <v>1334</v>
      </c>
      <c r="D431" s="29"/>
      <c r="E431" s="29"/>
      <c r="F431" s="29"/>
      <c r="G431" s="37"/>
      <c r="H431" s="68">
        <v>0.05</v>
      </c>
      <c r="I431" s="68">
        <v>0.0</v>
      </c>
      <c r="J431" s="91"/>
      <c r="K431" s="88"/>
      <c r="L431" s="84">
        <v>34.0</v>
      </c>
      <c r="M431" s="84">
        <v>24.0</v>
      </c>
      <c r="N431" s="84">
        <v>2.0</v>
      </c>
      <c r="O431" s="73">
        <f t="shared" si="14"/>
        <v>204</v>
      </c>
      <c r="P431" s="89"/>
      <c r="Q431" s="73">
        <f t="array" ref="Q431">XLOOKUP(K431/1000, '运费（邮政）'!$A$2:$A$21, '运费（邮政）'!$B$2:$B$21, "超出范围", 1)</f>
        <v>880</v>
      </c>
      <c r="R431" s="89"/>
      <c r="S431" s="74">
        <f t="shared" si="2"/>
        <v>6.521126761</v>
      </c>
      <c r="T431" s="75">
        <f t="shared" si="3"/>
        <v>0</v>
      </c>
      <c r="U431" s="76">
        <f t="array" ref="U431">XLOOKUP(O431/1000, '运费（橙联）'!$A$2:$A$57, '运费（橙联）'!$B$2:$B$57, "超出范围", 1)</f>
        <v>1581</v>
      </c>
      <c r="V431" s="77">
        <f>(P431*'参数表'!$C$2*(1+'参数表'!$C$3))*$B$1+'参数表'!$C$4</f>
        <v>225</v>
      </c>
      <c r="W431" s="68">
        <v>0.127</v>
      </c>
      <c r="X431" s="78">
        <v>0.0135</v>
      </c>
      <c r="Y431" s="79">
        <f t="shared" si="4"/>
        <v>-942.48</v>
      </c>
      <c r="Z431" s="80" t="str">
        <f t="shared" si="5"/>
        <v>#DIV/0!</v>
      </c>
      <c r="AA431" s="81" t="str">
        <f t="shared" si="6"/>
        <v>#DIV/0!</v>
      </c>
      <c r="AB431" s="79">
        <f t="shared" si="7"/>
        <v>-1868.48</v>
      </c>
      <c r="AC431" s="80" t="str">
        <f t="shared" si="8"/>
        <v>#DIV/0!</v>
      </c>
      <c r="AD431" s="81" t="str">
        <f t="shared" si="9"/>
        <v>#DIV/0!</v>
      </c>
      <c r="AE431" s="74">
        <f>P431*(1-I431)*(1+'参数表'!$C$6)*(W431+X431+H431)*1.1+0.4*1.1</f>
        <v>0.44</v>
      </c>
      <c r="AF431" s="74">
        <f t="shared" si="10"/>
        <v>0.44</v>
      </c>
      <c r="AG431" s="29"/>
    </row>
    <row r="432">
      <c r="A432" s="29"/>
      <c r="B432" s="29"/>
      <c r="C432" s="60" t="s">
        <v>1335</v>
      </c>
      <c r="D432" s="29"/>
      <c r="E432" s="29"/>
      <c r="F432" s="29"/>
      <c r="G432" s="37"/>
      <c r="H432" s="68">
        <v>0.05</v>
      </c>
      <c r="I432" s="68">
        <v>0.0</v>
      </c>
      <c r="J432" s="91"/>
      <c r="K432" s="88"/>
      <c r="L432" s="84">
        <v>34.0</v>
      </c>
      <c r="M432" s="84">
        <v>24.0</v>
      </c>
      <c r="N432" s="84">
        <v>2.0</v>
      </c>
      <c r="O432" s="73">
        <f t="shared" si="14"/>
        <v>204</v>
      </c>
      <c r="P432" s="89"/>
      <c r="Q432" s="73">
        <f t="array" ref="Q432">XLOOKUP(K432/1000, '运费（邮政）'!$A$2:$A$21, '运费（邮政）'!$B$2:$B$21, "超出范围", 1)</f>
        <v>880</v>
      </c>
      <c r="R432" s="89"/>
      <c r="S432" s="74">
        <f t="shared" si="2"/>
        <v>6.521126761</v>
      </c>
      <c r="T432" s="75">
        <f t="shared" si="3"/>
        <v>0</v>
      </c>
      <c r="U432" s="76">
        <f t="array" ref="U432">XLOOKUP(O432/1000, '运费（橙联）'!$A$2:$A$57, '运费（橙联）'!$B$2:$B$57, "超出范围", 1)</f>
        <v>1581</v>
      </c>
      <c r="V432" s="77">
        <f>(P432*'参数表'!$C$2*(1+'参数表'!$C$3))*$B$1+'参数表'!$C$4</f>
        <v>225</v>
      </c>
      <c r="W432" s="68">
        <v>0.127</v>
      </c>
      <c r="X432" s="78">
        <v>0.0135</v>
      </c>
      <c r="Y432" s="79">
        <f t="shared" si="4"/>
        <v>-942.48</v>
      </c>
      <c r="Z432" s="80" t="str">
        <f t="shared" si="5"/>
        <v>#DIV/0!</v>
      </c>
      <c r="AA432" s="81" t="str">
        <f t="shared" si="6"/>
        <v>#DIV/0!</v>
      </c>
      <c r="AB432" s="79">
        <f t="shared" si="7"/>
        <v>-1868.48</v>
      </c>
      <c r="AC432" s="80" t="str">
        <f t="shared" si="8"/>
        <v>#DIV/0!</v>
      </c>
      <c r="AD432" s="81" t="str">
        <f t="shared" si="9"/>
        <v>#DIV/0!</v>
      </c>
      <c r="AE432" s="74">
        <f>P432*(1-I432)*(1+'参数表'!$C$6)*(W432+X432+H432)*1.1+0.4*1.1</f>
        <v>0.44</v>
      </c>
      <c r="AF432" s="74">
        <f t="shared" si="10"/>
        <v>0.44</v>
      </c>
      <c r="AG432" s="29"/>
    </row>
    <row r="433">
      <c r="A433" s="29"/>
      <c r="B433" s="29"/>
      <c r="C433" s="60" t="s">
        <v>1336</v>
      </c>
      <c r="D433" s="29"/>
      <c r="E433" s="29"/>
      <c r="F433" s="29"/>
      <c r="G433" s="37"/>
      <c r="H433" s="68">
        <v>0.05</v>
      </c>
      <c r="I433" s="68">
        <v>0.0</v>
      </c>
      <c r="J433" s="91"/>
      <c r="K433" s="88"/>
      <c r="L433" s="84">
        <v>34.0</v>
      </c>
      <c r="M433" s="84">
        <v>24.0</v>
      </c>
      <c r="N433" s="84">
        <v>2.0</v>
      </c>
      <c r="O433" s="73">
        <f t="shared" si="14"/>
        <v>204</v>
      </c>
      <c r="P433" s="89"/>
      <c r="Q433" s="73">
        <f t="array" ref="Q433">XLOOKUP(K433/1000, '运费（邮政）'!$A$2:$A$21, '运费（邮政）'!$B$2:$B$21, "超出范围", 1)</f>
        <v>880</v>
      </c>
      <c r="R433" s="89"/>
      <c r="S433" s="74">
        <f t="shared" si="2"/>
        <v>6.521126761</v>
      </c>
      <c r="T433" s="75">
        <f t="shared" si="3"/>
        <v>0</v>
      </c>
      <c r="U433" s="76">
        <f t="array" ref="U433">XLOOKUP(O433/1000, '运费（橙联）'!$A$2:$A$57, '运费（橙联）'!$B$2:$B$57, "超出范围", 1)</f>
        <v>1581</v>
      </c>
      <c r="V433" s="77">
        <f>(P433*'参数表'!$C$2*(1+'参数表'!$C$3))*$B$1+'参数表'!$C$4</f>
        <v>225</v>
      </c>
      <c r="W433" s="68">
        <v>0.127</v>
      </c>
      <c r="X433" s="78">
        <v>0.0135</v>
      </c>
      <c r="Y433" s="79">
        <f t="shared" si="4"/>
        <v>-942.48</v>
      </c>
      <c r="Z433" s="80" t="str">
        <f t="shared" si="5"/>
        <v>#DIV/0!</v>
      </c>
      <c r="AA433" s="81" t="str">
        <f t="shared" si="6"/>
        <v>#DIV/0!</v>
      </c>
      <c r="AB433" s="79">
        <f t="shared" si="7"/>
        <v>-1868.48</v>
      </c>
      <c r="AC433" s="80" t="str">
        <f t="shared" si="8"/>
        <v>#DIV/0!</v>
      </c>
      <c r="AD433" s="81" t="str">
        <f t="shared" si="9"/>
        <v>#DIV/0!</v>
      </c>
      <c r="AE433" s="74">
        <f>P433*(1-I433)*(1+'参数表'!$C$6)*(W433+X433+H433)*1.1+0.4*1.1</f>
        <v>0.44</v>
      </c>
      <c r="AF433" s="74">
        <f t="shared" si="10"/>
        <v>0.44</v>
      </c>
      <c r="AG433" s="29"/>
    </row>
    <row r="434">
      <c r="A434" s="29"/>
      <c r="B434" s="29"/>
      <c r="C434" s="60" t="s">
        <v>1337</v>
      </c>
      <c r="D434" s="29"/>
      <c r="E434" s="29"/>
      <c r="F434" s="29"/>
      <c r="G434" s="37"/>
      <c r="H434" s="68">
        <v>0.05</v>
      </c>
      <c r="I434" s="68">
        <v>0.0</v>
      </c>
      <c r="J434" s="91"/>
      <c r="K434" s="88"/>
      <c r="L434" s="84">
        <v>34.0</v>
      </c>
      <c r="M434" s="84">
        <v>24.0</v>
      </c>
      <c r="N434" s="84">
        <v>2.0</v>
      </c>
      <c r="O434" s="73">
        <f t="shared" si="14"/>
        <v>204</v>
      </c>
      <c r="P434" s="89"/>
      <c r="Q434" s="73">
        <f t="array" ref="Q434">XLOOKUP(K434/1000, '运费（邮政）'!$A$2:$A$21, '运费（邮政）'!$B$2:$B$21, "超出范围", 1)</f>
        <v>880</v>
      </c>
      <c r="R434" s="89"/>
      <c r="S434" s="74">
        <f t="shared" si="2"/>
        <v>6.521126761</v>
      </c>
      <c r="T434" s="75">
        <f t="shared" si="3"/>
        <v>0</v>
      </c>
      <c r="U434" s="76">
        <f t="array" ref="U434">XLOOKUP(O434/1000, '运费（橙联）'!$A$2:$A$57, '运费（橙联）'!$B$2:$B$57, "超出范围", 1)</f>
        <v>1581</v>
      </c>
      <c r="V434" s="77">
        <f>(P434*'参数表'!$C$2*(1+'参数表'!$C$3))*$B$1+'参数表'!$C$4</f>
        <v>225</v>
      </c>
      <c r="W434" s="68">
        <v>0.127</v>
      </c>
      <c r="X434" s="78">
        <v>0.0135</v>
      </c>
      <c r="Y434" s="79">
        <f t="shared" si="4"/>
        <v>-942.48</v>
      </c>
      <c r="Z434" s="80" t="str">
        <f t="shared" si="5"/>
        <v>#DIV/0!</v>
      </c>
      <c r="AA434" s="81" t="str">
        <f t="shared" si="6"/>
        <v>#DIV/0!</v>
      </c>
      <c r="AB434" s="79">
        <f t="shared" si="7"/>
        <v>-1868.48</v>
      </c>
      <c r="AC434" s="80" t="str">
        <f t="shared" si="8"/>
        <v>#DIV/0!</v>
      </c>
      <c r="AD434" s="81" t="str">
        <f t="shared" si="9"/>
        <v>#DIV/0!</v>
      </c>
      <c r="AE434" s="74">
        <f>P434*(1-I434)*(1+'参数表'!$C$6)*(W434+X434+H434)*1.1+0.4*1.1</f>
        <v>0.44</v>
      </c>
      <c r="AF434" s="74">
        <f t="shared" si="10"/>
        <v>0.44</v>
      </c>
      <c r="AG434" s="29"/>
    </row>
    <row r="435">
      <c r="A435" s="29"/>
      <c r="B435" s="29"/>
      <c r="C435" s="60" t="s">
        <v>1338</v>
      </c>
      <c r="D435" s="29"/>
      <c r="E435" s="29"/>
      <c r="F435" s="29"/>
      <c r="G435" s="37"/>
      <c r="H435" s="68">
        <v>0.05</v>
      </c>
      <c r="I435" s="68">
        <v>0.0</v>
      </c>
      <c r="J435" s="91"/>
      <c r="K435" s="88"/>
      <c r="L435" s="84">
        <v>34.0</v>
      </c>
      <c r="M435" s="84">
        <v>24.0</v>
      </c>
      <c r="N435" s="84">
        <v>2.0</v>
      </c>
      <c r="O435" s="73">
        <f t="shared" si="14"/>
        <v>204</v>
      </c>
      <c r="P435" s="89"/>
      <c r="Q435" s="73">
        <f t="array" ref="Q435">XLOOKUP(K435/1000, '运费（邮政）'!$A$2:$A$21, '运费（邮政）'!$B$2:$B$21, "超出范围", 1)</f>
        <v>880</v>
      </c>
      <c r="R435" s="89"/>
      <c r="S435" s="74">
        <f t="shared" si="2"/>
        <v>6.521126761</v>
      </c>
      <c r="T435" s="75">
        <f t="shared" si="3"/>
        <v>0</v>
      </c>
      <c r="U435" s="76">
        <f t="array" ref="U435">XLOOKUP(O435/1000, '运费（橙联）'!$A$2:$A$57, '运费（橙联）'!$B$2:$B$57, "超出范围", 1)</f>
        <v>1581</v>
      </c>
      <c r="V435" s="77">
        <f>(P435*'参数表'!$C$2*(1+'参数表'!$C$3))*$B$1+'参数表'!$C$4</f>
        <v>225</v>
      </c>
      <c r="W435" s="68">
        <v>0.127</v>
      </c>
      <c r="X435" s="78">
        <v>0.0135</v>
      </c>
      <c r="Y435" s="79">
        <f t="shared" si="4"/>
        <v>-942.48</v>
      </c>
      <c r="Z435" s="80" t="str">
        <f t="shared" si="5"/>
        <v>#DIV/0!</v>
      </c>
      <c r="AA435" s="81" t="str">
        <f t="shared" si="6"/>
        <v>#DIV/0!</v>
      </c>
      <c r="AB435" s="79">
        <f t="shared" si="7"/>
        <v>-1868.48</v>
      </c>
      <c r="AC435" s="80" t="str">
        <f t="shared" si="8"/>
        <v>#DIV/0!</v>
      </c>
      <c r="AD435" s="81" t="str">
        <f t="shared" si="9"/>
        <v>#DIV/0!</v>
      </c>
      <c r="AE435" s="74">
        <f>P435*(1-I435)*(1+'参数表'!$C$6)*(W435+X435+H435)*1.1+0.4*1.1</f>
        <v>0.44</v>
      </c>
      <c r="AF435" s="74">
        <f t="shared" si="10"/>
        <v>0.44</v>
      </c>
      <c r="AG435" s="29"/>
    </row>
    <row r="436">
      <c r="A436" s="29"/>
      <c r="B436" s="29"/>
      <c r="C436" s="60" t="s">
        <v>1339</v>
      </c>
      <c r="D436" s="29"/>
      <c r="E436" s="29"/>
      <c r="F436" s="29"/>
      <c r="G436" s="37"/>
      <c r="H436" s="68">
        <v>0.05</v>
      </c>
      <c r="I436" s="68">
        <v>0.0</v>
      </c>
      <c r="J436" s="91"/>
      <c r="K436" s="88"/>
      <c r="L436" s="84">
        <v>34.0</v>
      </c>
      <c r="M436" s="84">
        <v>24.0</v>
      </c>
      <c r="N436" s="84">
        <v>2.0</v>
      </c>
      <c r="O436" s="73">
        <f t="shared" si="14"/>
        <v>204</v>
      </c>
      <c r="P436" s="89"/>
      <c r="Q436" s="73">
        <f t="array" ref="Q436">XLOOKUP(K436/1000, '运费（邮政）'!$A$2:$A$21, '运费（邮政）'!$B$2:$B$21, "超出范围", 1)</f>
        <v>880</v>
      </c>
      <c r="R436" s="89"/>
      <c r="S436" s="74">
        <f t="shared" si="2"/>
        <v>6.521126761</v>
      </c>
      <c r="T436" s="75">
        <f t="shared" si="3"/>
        <v>0</v>
      </c>
      <c r="U436" s="76">
        <f t="array" ref="U436">XLOOKUP(O436/1000, '运费（橙联）'!$A$2:$A$57, '运费（橙联）'!$B$2:$B$57, "超出范围", 1)</f>
        <v>1581</v>
      </c>
      <c r="V436" s="77">
        <f>(P436*'参数表'!$C$2*(1+'参数表'!$C$3))*$B$1+'参数表'!$C$4</f>
        <v>225</v>
      </c>
      <c r="W436" s="68">
        <v>0.127</v>
      </c>
      <c r="X436" s="78">
        <v>0.0135</v>
      </c>
      <c r="Y436" s="79">
        <f t="shared" si="4"/>
        <v>-942.48</v>
      </c>
      <c r="Z436" s="80" t="str">
        <f t="shared" si="5"/>
        <v>#DIV/0!</v>
      </c>
      <c r="AA436" s="81" t="str">
        <f t="shared" si="6"/>
        <v>#DIV/0!</v>
      </c>
      <c r="AB436" s="79">
        <f t="shared" si="7"/>
        <v>-1868.48</v>
      </c>
      <c r="AC436" s="80" t="str">
        <f t="shared" si="8"/>
        <v>#DIV/0!</v>
      </c>
      <c r="AD436" s="81" t="str">
        <f t="shared" si="9"/>
        <v>#DIV/0!</v>
      </c>
      <c r="AE436" s="74">
        <f>P436*(1-I436)*(1+'参数表'!$C$6)*(W436+X436+H436)*1.1+0.4*1.1</f>
        <v>0.44</v>
      </c>
      <c r="AF436" s="74">
        <f t="shared" si="10"/>
        <v>0.44</v>
      </c>
      <c r="AG436" s="29"/>
    </row>
    <row r="437">
      <c r="A437" s="29"/>
      <c r="B437" s="29"/>
      <c r="C437" s="60" t="s">
        <v>1340</v>
      </c>
      <c r="D437" s="29"/>
      <c r="E437" s="29"/>
      <c r="F437" s="29"/>
      <c r="G437" s="37"/>
      <c r="H437" s="68">
        <v>0.05</v>
      </c>
      <c r="I437" s="68">
        <v>0.0</v>
      </c>
      <c r="J437" s="91"/>
      <c r="K437" s="88"/>
      <c r="L437" s="84">
        <v>34.0</v>
      </c>
      <c r="M437" s="84">
        <v>24.0</v>
      </c>
      <c r="N437" s="84">
        <v>2.0</v>
      </c>
      <c r="O437" s="73">
        <f t="shared" si="14"/>
        <v>204</v>
      </c>
      <c r="P437" s="89"/>
      <c r="Q437" s="73">
        <f t="array" ref="Q437">XLOOKUP(K437/1000, '运费（邮政）'!$A$2:$A$21, '运费（邮政）'!$B$2:$B$21, "超出范围", 1)</f>
        <v>880</v>
      </c>
      <c r="R437" s="89"/>
      <c r="S437" s="74">
        <f t="shared" si="2"/>
        <v>6.521126761</v>
      </c>
      <c r="T437" s="75">
        <f t="shared" si="3"/>
        <v>0</v>
      </c>
      <c r="U437" s="76">
        <f t="array" ref="U437">XLOOKUP(O437/1000, '运费（橙联）'!$A$2:$A$57, '运费（橙联）'!$B$2:$B$57, "超出范围", 1)</f>
        <v>1581</v>
      </c>
      <c r="V437" s="77">
        <f>(P437*'参数表'!$C$2*(1+'参数表'!$C$3))*$B$1+'参数表'!$C$4</f>
        <v>225</v>
      </c>
      <c r="W437" s="68">
        <v>0.127</v>
      </c>
      <c r="X437" s="78">
        <v>0.0135</v>
      </c>
      <c r="Y437" s="79">
        <f t="shared" si="4"/>
        <v>-942.48</v>
      </c>
      <c r="Z437" s="80" t="str">
        <f t="shared" si="5"/>
        <v>#DIV/0!</v>
      </c>
      <c r="AA437" s="81" t="str">
        <f t="shared" si="6"/>
        <v>#DIV/0!</v>
      </c>
      <c r="AB437" s="79">
        <f t="shared" si="7"/>
        <v>-1868.48</v>
      </c>
      <c r="AC437" s="80" t="str">
        <f t="shared" si="8"/>
        <v>#DIV/0!</v>
      </c>
      <c r="AD437" s="81" t="str">
        <f t="shared" si="9"/>
        <v>#DIV/0!</v>
      </c>
      <c r="AE437" s="74">
        <f>P437*(1-I437)*(1+'参数表'!$C$6)*(W437+X437+H437)*1.1+0.4*1.1</f>
        <v>0.44</v>
      </c>
      <c r="AF437" s="74">
        <f t="shared" si="10"/>
        <v>0.44</v>
      </c>
      <c r="AG437" s="29"/>
    </row>
    <row r="438">
      <c r="A438" s="29"/>
      <c r="B438" s="29"/>
      <c r="C438" s="60" t="s">
        <v>1341</v>
      </c>
      <c r="D438" s="29"/>
      <c r="E438" s="29"/>
      <c r="F438" s="29"/>
      <c r="G438" s="37"/>
      <c r="H438" s="68">
        <v>0.05</v>
      </c>
      <c r="I438" s="68">
        <v>0.0</v>
      </c>
      <c r="J438" s="91"/>
      <c r="K438" s="88"/>
      <c r="L438" s="84">
        <v>34.0</v>
      </c>
      <c r="M438" s="84">
        <v>24.0</v>
      </c>
      <c r="N438" s="84">
        <v>2.0</v>
      </c>
      <c r="O438" s="73">
        <f t="shared" si="14"/>
        <v>204</v>
      </c>
      <c r="P438" s="89"/>
      <c r="Q438" s="73">
        <f t="array" ref="Q438">XLOOKUP(K438/1000, '运费（邮政）'!$A$2:$A$21, '运费（邮政）'!$B$2:$B$21, "超出范围", 1)</f>
        <v>880</v>
      </c>
      <c r="R438" s="89"/>
      <c r="S438" s="74">
        <f t="shared" si="2"/>
        <v>6.521126761</v>
      </c>
      <c r="T438" s="75">
        <f t="shared" si="3"/>
        <v>0</v>
      </c>
      <c r="U438" s="76">
        <f t="array" ref="U438">XLOOKUP(O438/1000, '运费（橙联）'!$A$2:$A$57, '运费（橙联）'!$B$2:$B$57, "超出范围", 1)</f>
        <v>1581</v>
      </c>
      <c r="V438" s="77">
        <f>(P438*'参数表'!$C$2*(1+'参数表'!$C$3))*$B$1+'参数表'!$C$4</f>
        <v>225</v>
      </c>
      <c r="W438" s="68">
        <v>0.127</v>
      </c>
      <c r="X438" s="78">
        <v>0.0135</v>
      </c>
      <c r="Y438" s="79">
        <f t="shared" si="4"/>
        <v>-942.48</v>
      </c>
      <c r="Z438" s="80" t="str">
        <f t="shared" si="5"/>
        <v>#DIV/0!</v>
      </c>
      <c r="AA438" s="81" t="str">
        <f t="shared" si="6"/>
        <v>#DIV/0!</v>
      </c>
      <c r="AB438" s="79">
        <f t="shared" si="7"/>
        <v>-1868.48</v>
      </c>
      <c r="AC438" s="80" t="str">
        <f t="shared" si="8"/>
        <v>#DIV/0!</v>
      </c>
      <c r="AD438" s="81" t="str">
        <f t="shared" si="9"/>
        <v>#DIV/0!</v>
      </c>
      <c r="AE438" s="74">
        <f>P438*(1-I438)*(1+'参数表'!$C$6)*(W438+X438+H438)*1.1+0.4*1.1</f>
        <v>0.44</v>
      </c>
      <c r="AF438" s="74">
        <f t="shared" si="10"/>
        <v>0.44</v>
      </c>
      <c r="AG438" s="29"/>
    </row>
    <row r="439">
      <c r="A439" s="29"/>
      <c r="B439" s="29"/>
      <c r="C439" s="60" t="s">
        <v>1342</v>
      </c>
      <c r="D439" s="29"/>
      <c r="E439" s="29"/>
      <c r="F439" s="29"/>
      <c r="G439" s="37"/>
      <c r="H439" s="68">
        <v>0.05</v>
      </c>
      <c r="I439" s="68">
        <v>0.0</v>
      </c>
      <c r="J439" s="91"/>
      <c r="K439" s="88"/>
      <c r="L439" s="84">
        <v>34.0</v>
      </c>
      <c r="M439" s="84">
        <v>24.0</v>
      </c>
      <c r="N439" s="84">
        <v>2.0</v>
      </c>
      <c r="O439" s="73">
        <f t="shared" si="14"/>
        <v>204</v>
      </c>
      <c r="P439" s="89"/>
      <c r="Q439" s="73">
        <f t="array" ref="Q439">XLOOKUP(K439/1000, '运费（邮政）'!$A$2:$A$21, '运费（邮政）'!$B$2:$B$21, "超出范围", 1)</f>
        <v>880</v>
      </c>
      <c r="R439" s="89"/>
      <c r="S439" s="74">
        <f t="shared" si="2"/>
        <v>6.521126761</v>
      </c>
      <c r="T439" s="75">
        <f t="shared" si="3"/>
        <v>0</v>
      </c>
      <c r="U439" s="76">
        <f t="array" ref="U439">XLOOKUP(O439/1000, '运费（橙联）'!$A$2:$A$57, '运费（橙联）'!$B$2:$B$57, "超出范围", 1)</f>
        <v>1581</v>
      </c>
      <c r="V439" s="77">
        <f>(P439*'参数表'!$C$2*(1+'参数表'!$C$3))*$B$1+'参数表'!$C$4</f>
        <v>225</v>
      </c>
      <c r="W439" s="68">
        <v>0.127</v>
      </c>
      <c r="X439" s="78">
        <v>0.0135</v>
      </c>
      <c r="Y439" s="79">
        <f t="shared" si="4"/>
        <v>-942.48</v>
      </c>
      <c r="Z439" s="80" t="str">
        <f t="shared" si="5"/>
        <v>#DIV/0!</v>
      </c>
      <c r="AA439" s="81" t="str">
        <f t="shared" si="6"/>
        <v>#DIV/0!</v>
      </c>
      <c r="AB439" s="79">
        <f t="shared" si="7"/>
        <v>-1868.48</v>
      </c>
      <c r="AC439" s="80" t="str">
        <f t="shared" si="8"/>
        <v>#DIV/0!</v>
      </c>
      <c r="AD439" s="81" t="str">
        <f t="shared" si="9"/>
        <v>#DIV/0!</v>
      </c>
      <c r="AE439" s="74">
        <f>P439*(1-I439)*(1+'参数表'!$C$6)*(W439+X439+H439)*1.1+0.4*1.1</f>
        <v>0.44</v>
      </c>
      <c r="AF439" s="74">
        <f t="shared" si="10"/>
        <v>0.44</v>
      </c>
      <c r="AG439" s="29"/>
    </row>
    <row r="440">
      <c r="E440" s="14"/>
      <c r="F440" s="14"/>
      <c r="G440" s="92"/>
      <c r="Z440" s="5"/>
      <c r="AA440" s="5"/>
    </row>
    <row r="441">
      <c r="E441" s="14"/>
      <c r="F441" s="14"/>
      <c r="Z441" s="5"/>
      <c r="AA441" s="5"/>
    </row>
    <row r="442">
      <c r="E442" s="14"/>
      <c r="F442" s="14"/>
      <c r="Z442" s="5"/>
      <c r="AA442" s="5"/>
    </row>
    <row r="443">
      <c r="E443" s="14"/>
      <c r="F443" s="14"/>
      <c r="Z443" s="5"/>
      <c r="AA443" s="5"/>
    </row>
    <row r="444">
      <c r="E444" s="14"/>
      <c r="F444" s="14"/>
      <c r="Z444" s="5"/>
      <c r="AA444" s="5"/>
    </row>
    <row r="445">
      <c r="E445" s="14"/>
      <c r="F445" s="14"/>
      <c r="Z445" s="5"/>
      <c r="AA445" s="5"/>
    </row>
    <row r="446">
      <c r="E446" s="14"/>
      <c r="F446" s="14"/>
      <c r="Z446" s="5"/>
      <c r="AA446" s="5"/>
    </row>
    <row r="447">
      <c r="E447" s="14"/>
      <c r="F447" s="14"/>
      <c r="Z447" s="5"/>
      <c r="AA447" s="5"/>
    </row>
    <row r="448">
      <c r="E448" s="14"/>
      <c r="F448" s="14"/>
      <c r="Z448" s="5"/>
      <c r="AA448" s="5"/>
    </row>
    <row r="449">
      <c r="E449" s="14"/>
      <c r="F449" s="14"/>
      <c r="Z449" s="5"/>
      <c r="AA449" s="5"/>
    </row>
    <row r="450">
      <c r="E450" s="14"/>
      <c r="F450" s="14"/>
      <c r="Z450" s="5"/>
      <c r="AA450" s="5"/>
    </row>
    <row r="451">
      <c r="E451" s="14"/>
      <c r="F451" s="14"/>
      <c r="Z451" s="5"/>
      <c r="AA451" s="5"/>
    </row>
    <row r="452">
      <c r="E452" s="14"/>
      <c r="F452" s="14"/>
      <c r="Z452" s="5"/>
      <c r="AA452" s="5"/>
    </row>
    <row r="453">
      <c r="E453" s="14"/>
      <c r="F453" s="14"/>
      <c r="Z453" s="5"/>
      <c r="AA453" s="5"/>
    </row>
    <row r="454">
      <c r="E454" s="14"/>
      <c r="F454" s="14"/>
      <c r="Z454" s="5"/>
      <c r="AA454" s="5"/>
    </row>
    <row r="455">
      <c r="E455" s="14"/>
      <c r="F455" s="14"/>
      <c r="Z455" s="5"/>
      <c r="AA455" s="5"/>
    </row>
    <row r="456">
      <c r="E456" s="14"/>
      <c r="F456" s="14"/>
      <c r="Z456" s="5"/>
      <c r="AA456" s="5"/>
    </row>
    <row r="457">
      <c r="E457" s="14"/>
      <c r="F457" s="14"/>
      <c r="Z457" s="5"/>
      <c r="AA457" s="5"/>
    </row>
    <row r="458">
      <c r="E458" s="14"/>
      <c r="F458" s="14"/>
      <c r="Z458" s="5"/>
      <c r="AA458" s="5"/>
    </row>
    <row r="459">
      <c r="E459" s="14"/>
      <c r="F459" s="14"/>
      <c r="Z459" s="5"/>
      <c r="AA459" s="5"/>
    </row>
    <row r="460">
      <c r="E460" s="14"/>
      <c r="F460" s="14"/>
      <c r="Z460" s="5"/>
      <c r="AA460" s="5"/>
    </row>
    <row r="461">
      <c r="E461" s="14"/>
      <c r="F461" s="14"/>
      <c r="Z461" s="5"/>
      <c r="AA461" s="5"/>
    </row>
    <row r="462">
      <c r="E462" s="14"/>
      <c r="F462" s="14"/>
      <c r="Z462" s="5"/>
      <c r="AA462" s="5"/>
    </row>
    <row r="463">
      <c r="E463" s="14"/>
      <c r="F463" s="14"/>
      <c r="Z463" s="5"/>
      <c r="AA463" s="5"/>
    </row>
    <row r="464">
      <c r="E464" s="14"/>
      <c r="F464" s="14"/>
      <c r="Z464" s="5"/>
      <c r="AA464" s="5"/>
    </row>
    <row r="465">
      <c r="E465" s="14"/>
      <c r="F465" s="14"/>
      <c r="Z465" s="5"/>
      <c r="AA465" s="5"/>
    </row>
  </sheetData>
  <autoFilter ref="$A$3:$X$299">
    <sortState ref="A3:X299">
      <sortCondition ref="C3:C299"/>
      <sortCondition ref="J3:J299"/>
    </sortState>
  </autoFilter>
  <conditionalFormatting sqref="C4:C440">
    <cfRule type="expression" dxfId="0" priority="1">
      <formula>COUNTIF(C:C, C4) &gt; 1</formula>
    </cfRule>
  </conditionalFormatting>
  <conditionalFormatting sqref="G4:G440">
    <cfRule type="expression" dxfId="0" priority="2">
      <formula>AND(G4&lt;&gt;"", OR(COUNTIF($G:$G, G4)&gt;1, COUNTIF(INDIRECT("'UPC查重表'!A:A"), G4)&gt;0))</formula>
    </cfRule>
  </conditionalFormatting>
  <conditionalFormatting sqref="AA4:AA440">
    <cfRule type="cellIs" dxfId="1" priority="3" operator="lessThan">
      <formula>0.2</formula>
    </cfRule>
  </conditionalFormatting>
  <conditionalFormatting sqref="AD4:AD440">
    <cfRule type="cellIs" dxfId="1" priority="4" operator="lessThan">
      <formula>0.2</formula>
    </cfRule>
  </conditionalFormatting>
  <conditionalFormatting sqref="AD4:AD440">
    <cfRule type="expression" dxfId="0" priority="5">
      <formula>AD4&lt;AA4</formula>
    </cfRule>
  </conditionalFormatting>
  <hyperlinks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3"/>
    <hyperlink r:id="rId20" ref="A25"/>
    <hyperlink r:id="rId21" ref="A26"/>
    <hyperlink r:id="rId22" ref="A27"/>
    <hyperlink r:id="rId23" ref="A28"/>
    <hyperlink r:id="rId24" ref="A29"/>
    <hyperlink r:id="rId25" ref="A30"/>
    <hyperlink r:id="rId26" ref="A31"/>
    <hyperlink r:id="rId27" ref="A32"/>
    <hyperlink r:id="rId28" ref="A33"/>
    <hyperlink r:id="rId29" ref="A34"/>
    <hyperlink r:id="rId30" ref="A35"/>
    <hyperlink r:id="rId31" ref="A36"/>
    <hyperlink r:id="rId32" ref="B36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8"/>
    <hyperlink r:id="rId44" ref="A49"/>
    <hyperlink r:id="rId45" ref="A50"/>
    <hyperlink r:id="rId46" ref="A51"/>
    <hyperlink r:id="rId47" ref="A52"/>
    <hyperlink r:id="rId48" ref="A53"/>
    <hyperlink r:id="rId49" ref="B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  <hyperlink r:id="rId57" ref="A61"/>
    <hyperlink r:id="rId58" ref="A62"/>
    <hyperlink r:id="rId59" ref="A63"/>
    <hyperlink r:id="rId60" ref="A64"/>
    <hyperlink r:id="rId61" ref="A65"/>
    <hyperlink r:id="rId62" ref="A66"/>
    <hyperlink r:id="rId63" ref="A67"/>
    <hyperlink r:id="rId64" ref="A68"/>
    <hyperlink r:id="rId65" ref="A69"/>
    <hyperlink r:id="rId66" ref="A70"/>
    <hyperlink r:id="rId67" ref="A71"/>
    <hyperlink r:id="rId68" ref="A72"/>
    <hyperlink r:id="rId69" ref="A74"/>
    <hyperlink r:id="rId70" ref="A75"/>
    <hyperlink r:id="rId71" ref="A76"/>
    <hyperlink r:id="rId72" ref="A77"/>
    <hyperlink r:id="rId73" ref="A78"/>
    <hyperlink r:id="rId74" ref="A79"/>
    <hyperlink r:id="rId75" ref="A80"/>
    <hyperlink r:id="rId76" ref="A81"/>
    <hyperlink r:id="rId77" ref="A82"/>
    <hyperlink r:id="rId78" ref="A83"/>
    <hyperlink r:id="rId79" ref="A84"/>
    <hyperlink r:id="rId80" ref="A85"/>
    <hyperlink r:id="rId81" ref="A86"/>
    <hyperlink r:id="rId82" ref="A87"/>
    <hyperlink r:id="rId83" ref="A88"/>
    <hyperlink r:id="rId84" ref="A89"/>
    <hyperlink r:id="rId85" ref="A90"/>
    <hyperlink r:id="rId86" ref="A91"/>
    <hyperlink r:id="rId87" ref="A92"/>
    <hyperlink r:id="rId88" ref="A93"/>
    <hyperlink r:id="rId89" ref="A94"/>
    <hyperlink r:id="rId90" ref="A95"/>
    <hyperlink r:id="rId91" ref="A96"/>
    <hyperlink r:id="rId92" ref="A97"/>
    <hyperlink r:id="rId93" ref="B97"/>
    <hyperlink r:id="rId94" ref="A98"/>
    <hyperlink r:id="rId95" ref="A99"/>
    <hyperlink r:id="rId96" ref="A100"/>
    <hyperlink r:id="rId97" ref="A101"/>
    <hyperlink r:id="rId98" ref="A102"/>
    <hyperlink r:id="rId99" ref="A103"/>
    <hyperlink r:id="rId100" ref="A104"/>
    <hyperlink r:id="rId101" ref="B104"/>
    <hyperlink r:id="rId102" ref="B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B111"/>
    <hyperlink r:id="rId110" ref="A112"/>
    <hyperlink r:id="rId111" ref="A113"/>
    <hyperlink r:id="rId112" ref="A114"/>
    <hyperlink r:id="rId113" ref="A115"/>
    <hyperlink r:id="rId114" ref="B115"/>
    <hyperlink r:id="rId115" ref="A116"/>
    <hyperlink r:id="rId116" ref="B116"/>
    <hyperlink r:id="rId117" ref="A117"/>
    <hyperlink r:id="rId118" ref="A118"/>
    <hyperlink r:id="rId119" ref="A119"/>
    <hyperlink r:id="rId120" ref="A120"/>
    <hyperlink r:id="rId121" ref="B120"/>
    <hyperlink r:id="rId122" ref="A121"/>
    <hyperlink r:id="rId123" ref="B121"/>
    <hyperlink r:id="rId124" ref="A122"/>
    <hyperlink r:id="rId125" ref="A123"/>
    <hyperlink r:id="rId126" ref="A124"/>
    <hyperlink r:id="rId127" ref="A125"/>
    <hyperlink r:id="rId128" ref="A126"/>
    <hyperlink r:id="rId129" ref="A127"/>
    <hyperlink r:id="rId130" ref="A128"/>
    <hyperlink r:id="rId131" ref="A129"/>
    <hyperlink r:id="rId132" ref="A130"/>
    <hyperlink r:id="rId133" ref="A131"/>
    <hyperlink r:id="rId134" ref="A132"/>
    <hyperlink r:id="rId135" ref="A133"/>
    <hyperlink r:id="rId136" ref="A134"/>
    <hyperlink r:id="rId137" ref="A135"/>
    <hyperlink r:id="rId138" ref="A136"/>
    <hyperlink r:id="rId139" ref="A137"/>
    <hyperlink r:id="rId140" ref="A138"/>
    <hyperlink r:id="rId141" ref="A139"/>
    <hyperlink r:id="rId142" ref="A140"/>
    <hyperlink r:id="rId143" ref="A141"/>
    <hyperlink r:id="rId144" ref="A142"/>
    <hyperlink r:id="rId145" ref="A143"/>
    <hyperlink r:id="rId146" ref="A144"/>
    <hyperlink r:id="rId147" ref="A145"/>
    <hyperlink r:id="rId148" ref="A146"/>
    <hyperlink r:id="rId149" ref="A147"/>
    <hyperlink r:id="rId150" ref="A148"/>
    <hyperlink r:id="rId151" ref="A149"/>
    <hyperlink r:id="rId152" ref="A150"/>
    <hyperlink r:id="rId153" ref="A151"/>
    <hyperlink r:id="rId154" ref="A152"/>
    <hyperlink r:id="rId155" ref="A153"/>
    <hyperlink r:id="rId156" ref="A154"/>
    <hyperlink r:id="rId157" ref="A155"/>
    <hyperlink r:id="rId158" ref="B155"/>
    <hyperlink r:id="rId159" ref="A156"/>
    <hyperlink r:id="rId160" ref="B156"/>
    <hyperlink r:id="rId161" ref="A157"/>
    <hyperlink r:id="rId162" ref="B157"/>
    <hyperlink r:id="rId163" ref="B158"/>
    <hyperlink r:id="rId164" ref="A159"/>
    <hyperlink r:id="rId165" ref="B159"/>
    <hyperlink r:id="rId166" ref="A160"/>
    <hyperlink r:id="rId167" ref="B160"/>
    <hyperlink r:id="rId168" ref="A161"/>
    <hyperlink r:id="rId169" ref="A162"/>
    <hyperlink r:id="rId170" ref="A163"/>
    <hyperlink r:id="rId171" ref="A164"/>
    <hyperlink r:id="rId172" ref="A165"/>
    <hyperlink r:id="rId173" ref="A166"/>
    <hyperlink r:id="rId174" ref="A167"/>
    <hyperlink r:id="rId175" ref="A168"/>
    <hyperlink r:id="rId176" ref="A169"/>
    <hyperlink r:id="rId177" ref="A170"/>
    <hyperlink r:id="rId178" ref="A171"/>
    <hyperlink r:id="rId179" ref="A172"/>
    <hyperlink r:id="rId180" ref="A173"/>
    <hyperlink r:id="rId181" ref="A174"/>
    <hyperlink r:id="rId182" ref="A175"/>
    <hyperlink r:id="rId183" ref="A176"/>
    <hyperlink r:id="rId184" ref="A177"/>
    <hyperlink r:id="rId185" ref="A178"/>
    <hyperlink r:id="rId186" ref="A179"/>
    <hyperlink r:id="rId187" ref="A180"/>
    <hyperlink r:id="rId188" ref="A181"/>
    <hyperlink r:id="rId189" ref="A182"/>
    <hyperlink r:id="rId190" ref="A183"/>
    <hyperlink r:id="rId191" ref="A184"/>
    <hyperlink r:id="rId192" ref="A185"/>
    <hyperlink r:id="rId193" ref="A186"/>
    <hyperlink r:id="rId194" ref="A187"/>
    <hyperlink r:id="rId195" ref="A188"/>
    <hyperlink r:id="rId196" ref="A189"/>
    <hyperlink r:id="rId197" ref="A190"/>
    <hyperlink r:id="rId198" ref="A191"/>
    <hyperlink r:id="rId199" ref="A192"/>
    <hyperlink r:id="rId200" ref="A193"/>
    <hyperlink r:id="rId201" ref="A194"/>
    <hyperlink r:id="rId202" ref="A195"/>
    <hyperlink r:id="rId203" ref="A196"/>
    <hyperlink r:id="rId204" ref="A198"/>
    <hyperlink r:id="rId205" ref="A199"/>
    <hyperlink r:id="rId206" ref="A200"/>
    <hyperlink r:id="rId207" ref="A201"/>
    <hyperlink r:id="rId208" ref="A202"/>
    <hyperlink r:id="rId209" ref="A203"/>
    <hyperlink r:id="rId210" ref="A204"/>
    <hyperlink r:id="rId211" ref="A205"/>
    <hyperlink r:id="rId212" ref="A206"/>
    <hyperlink r:id="rId213" ref="B206"/>
    <hyperlink r:id="rId214" ref="A207"/>
    <hyperlink r:id="rId215" ref="B207"/>
    <hyperlink r:id="rId216" ref="A208"/>
    <hyperlink r:id="rId217" ref="B208"/>
    <hyperlink r:id="rId218" ref="A209"/>
    <hyperlink r:id="rId219" ref="B209"/>
    <hyperlink r:id="rId220" ref="A210"/>
    <hyperlink r:id="rId221" ref="B210"/>
    <hyperlink r:id="rId222" ref="A211"/>
    <hyperlink r:id="rId223" ref="B211"/>
    <hyperlink r:id="rId224" ref="A212"/>
    <hyperlink r:id="rId225" ref="B212"/>
    <hyperlink r:id="rId226" ref="A213"/>
    <hyperlink r:id="rId227" ref="B213"/>
    <hyperlink r:id="rId228" ref="A214"/>
    <hyperlink r:id="rId229" ref="B214"/>
    <hyperlink r:id="rId230" ref="A215"/>
    <hyperlink r:id="rId231" ref="B215"/>
    <hyperlink r:id="rId232" ref="A216"/>
    <hyperlink r:id="rId233" ref="B216"/>
    <hyperlink r:id="rId234" ref="A217"/>
    <hyperlink r:id="rId235" ref="B217"/>
    <hyperlink r:id="rId236" ref="A218"/>
    <hyperlink r:id="rId237" ref="B218"/>
    <hyperlink r:id="rId238" ref="A219"/>
    <hyperlink r:id="rId239" ref="B219"/>
    <hyperlink r:id="rId240" ref="A220"/>
    <hyperlink r:id="rId241" ref="A221"/>
    <hyperlink r:id="rId242" ref="B221"/>
    <hyperlink r:id="rId243" ref="A222"/>
    <hyperlink r:id="rId244" ref="B222"/>
    <hyperlink r:id="rId245" ref="A223"/>
    <hyperlink r:id="rId246" ref="A224"/>
    <hyperlink r:id="rId247" ref="A225"/>
    <hyperlink r:id="rId248" ref="B225"/>
    <hyperlink r:id="rId249" ref="A226"/>
    <hyperlink r:id="rId250" ref="B226"/>
    <hyperlink r:id="rId251" ref="A227"/>
    <hyperlink r:id="rId252" ref="A228"/>
    <hyperlink r:id="rId253" ref="A229"/>
    <hyperlink r:id="rId254" ref="B229"/>
    <hyperlink r:id="rId255" ref="A230"/>
    <hyperlink r:id="rId256" ref="B230"/>
    <hyperlink r:id="rId257" ref="A231"/>
    <hyperlink r:id="rId258" ref="B231"/>
    <hyperlink r:id="rId259" ref="A232"/>
    <hyperlink r:id="rId260" ref="B232"/>
    <hyperlink r:id="rId261" ref="A233"/>
    <hyperlink r:id="rId262" ref="B233"/>
    <hyperlink r:id="rId263" ref="A234"/>
    <hyperlink r:id="rId264" ref="B234"/>
    <hyperlink r:id="rId265" ref="A235"/>
    <hyperlink r:id="rId266" ref="B235"/>
    <hyperlink r:id="rId267" ref="A236"/>
    <hyperlink r:id="rId268" ref="A237"/>
    <hyperlink r:id="rId269" ref="A238"/>
    <hyperlink r:id="rId270" ref="A239"/>
    <hyperlink r:id="rId271" ref="A240"/>
    <hyperlink r:id="rId272" ref="A241"/>
    <hyperlink r:id="rId273" ref="A242"/>
    <hyperlink r:id="rId274" ref="A243"/>
    <hyperlink r:id="rId275" ref="A244"/>
    <hyperlink r:id="rId276" ref="A245"/>
    <hyperlink r:id="rId277" ref="A246"/>
    <hyperlink r:id="rId278" ref="B246"/>
    <hyperlink r:id="rId279" ref="A247"/>
    <hyperlink r:id="rId280" ref="A253"/>
    <hyperlink r:id="rId281" ref="B253"/>
    <hyperlink r:id="rId282" ref="B254"/>
    <hyperlink r:id="rId283" ref="B255"/>
    <hyperlink r:id="rId284" ref="A256"/>
    <hyperlink r:id="rId285" ref="B256"/>
    <hyperlink r:id="rId286" ref="A257"/>
    <hyperlink r:id="rId287" ref="A259"/>
    <hyperlink r:id="rId288" ref="A260"/>
    <hyperlink r:id="rId289" ref="A261"/>
    <hyperlink r:id="rId290" ref="A262"/>
    <hyperlink r:id="rId291" ref="A263"/>
    <hyperlink r:id="rId292" ref="A264"/>
    <hyperlink r:id="rId293" ref="A265"/>
    <hyperlink r:id="rId294" ref="A266"/>
    <hyperlink r:id="rId295" ref="A268"/>
    <hyperlink r:id="rId296" ref="A269"/>
    <hyperlink r:id="rId297" ref="B269"/>
    <hyperlink r:id="rId298" ref="A270"/>
    <hyperlink r:id="rId299" ref="B270"/>
    <hyperlink r:id="rId300" ref="A271"/>
    <hyperlink r:id="rId301" ref="B271"/>
    <hyperlink r:id="rId302" ref="A272"/>
    <hyperlink r:id="rId303" ref="B272"/>
    <hyperlink r:id="rId304" ref="A273"/>
    <hyperlink r:id="rId305" ref="B273"/>
    <hyperlink r:id="rId306" ref="A274"/>
    <hyperlink r:id="rId307" ref="B274"/>
    <hyperlink r:id="rId308" ref="A275"/>
    <hyperlink r:id="rId309" ref="A276"/>
    <hyperlink r:id="rId310" ref="B276"/>
    <hyperlink r:id="rId311" ref="A277"/>
    <hyperlink r:id="rId312" ref="B277"/>
    <hyperlink r:id="rId313" ref="A278"/>
    <hyperlink r:id="rId314" ref="B278"/>
    <hyperlink r:id="rId315" ref="A279"/>
    <hyperlink r:id="rId316" ref="B279"/>
    <hyperlink r:id="rId317" ref="A280"/>
    <hyperlink r:id="rId318" ref="B280"/>
    <hyperlink r:id="rId319" ref="A281"/>
    <hyperlink r:id="rId320" ref="B281"/>
    <hyperlink r:id="rId321" ref="A282"/>
    <hyperlink r:id="rId322" ref="B282"/>
    <hyperlink r:id="rId323" ref="A283"/>
    <hyperlink r:id="rId324" ref="B283"/>
    <hyperlink r:id="rId325" ref="A284"/>
    <hyperlink r:id="rId326" ref="B284"/>
    <hyperlink r:id="rId327" ref="A285"/>
    <hyperlink r:id="rId328" ref="B285"/>
    <hyperlink r:id="rId329" ref="A286"/>
    <hyperlink r:id="rId330" ref="B286"/>
    <hyperlink r:id="rId331" ref="A287"/>
    <hyperlink r:id="rId332" ref="B287"/>
    <hyperlink r:id="rId333" ref="A288"/>
    <hyperlink r:id="rId334" ref="B288"/>
    <hyperlink r:id="rId335" ref="A289"/>
    <hyperlink r:id="rId336" ref="B289"/>
    <hyperlink r:id="rId337" ref="A290"/>
    <hyperlink r:id="rId338" ref="B290"/>
    <hyperlink r:id="rId339" ref="A291"/>
    <hyperlink r:id="rId340" ref="B291"/>
    <hyperlink r:id="rId341" ref="A292"/>
    <hyperlink r:id="rId342" ref="B292"/>
    <hyperlink r:id="rId343" ref="A293"/>
    <hyperlink r:id="rId344" ref="A294"/>
    <hyperlink r:id="rId345" ref="A295"/>
    <hyperlink r:id="rId346" ref="A296"/>
    <hyperlink r:id="rId347" ref="A297"/>
    <hyperlink r:id="rId348" ref="A298"/>
    <hyperlink r:id="rId349" ref="A299"/>
    <hyperlink r:id="rId350" ref="A300"/>
    <hyperlink r:id="rId351" ref="A301"/>
    <hyperlink r:id="rId352" ref="A302"/>
    <hyperlink r:id="rId353" ref="A303"/>
    <hyperlink r:id="rId354" ref="A304"/>
    <hyperlink r:id="rId355" ref="A305"/>
    <hyperlink r:id="rId356" ref="A306"/>
    <hyperlink r:id="rId357" ref="A307"/>
    <hyperlink r:id="rId358" ref="A308"/>
    <hyperlink r:id="rId359" ref="A309"/>
    <hyperlink r:id="rId360" ref="A310"/>
    <hyperlink r:id="rId361" ref="A311"/>
    <hyperlink r:id="rId362" ref="A312"/>
    <hyperlink r:id="rId363" ref="A313"/>
    <hyperlink r:id="rId364" ref="A314"/>
    <hyperlink r:id="rId365" ref="A315"/>
    <hyperlink r:id="rId366" ref="A316"/>
    <hyperlink r:id="rId367" ref="A317"/>
    <hyperlink r:id="rId368" ref="A318"/>
    <hyperlink r:id="rId369" ref="B318"/>
    <hyperlink r:id="rId370" ref="A319"/>
    <hyperlink r:id="rId371" ref="B319"/>
    <hyperlink r:id="rId372" ref="A320"/>
    <hyperlink r:id="rId373" ref="B320"/>
    <hyperlink r:id="rId374" ref="A321"/>
    <hyperlink r:id="rId375" ref="B321"/>
    <hyperlink r:id="rId376" ref="A322"/>
    <hyperlink r:id="rId377" ref="B322"/>
    <hyperlink r:id="rId378" ref="A323"/>
    <hyperlink r:id="rId379" ref="B323"/>
    <hyperlink r:id="rId380" ref="A324"/>
    <hyperlink r:id="rId381" ref="B324"/>
    <hyperlink r:id="rId382" ref="A325"/>
    <hyperlink r:id="rId383" ref="B325"/>
    <hyperlink r:id="rId384" ref="A326"/>
    <hyperlink r:id="rId385" ref="B326"/>
    <hyperlink r:id="rId386" ref="A327"/>
    <hyperlink r:id="rId387" ref="B327"/>
    <hyperlink r:id="rId388" ref="A328"/>
    <hyperlink r:id="rId389" ref="B328"/>
    <hyperlink r:id="rId390" ref="A329"/>
    <hyperlink r:id="rId391" ref="B329"/>
    <hyperlink r:id="rId392" ref="A330"/>
    <hyperlink r:id="rId393" ref="B330"/>
    <hyperlink r:id="rId394" ref="A331"/>
    <hyperlink r:id="rId395" ref="B331"/>
    <hyperlink r:id="rId396" ref="A332"/>
    <hyperlink r:id="rId397" ref="B332"/>
    <hyperlink r:id="rId398" ref="A333"/>
    <hyperlink r:id="rId399" ref="A334"/>
    <hyperlink r:id="rId400" ref="B334"/>
    <hyperlink r:id="rId401" ref="A335"/>
    <hyperlink r:id="rId402" ref="B335"/>
    <hyperlink r:id="rId403" ref="A336"/>
    <hyperlink r:id="rId404" ref="B336"/>
    <hyperlink r:id="rId405" ref="A337"/>
    <hyperlink r:id="rId406" ref="B337"/>
    <hyperlink r:id="rId407" ref="A338"/>
    <hyperlink r:id="rId408" ref="B338"/>
    <hyperlink r:id="rId409" ref="A339"/>
    <hyperlink r:id="rId410" ref="B339"/>
    <hyperlink r:id="rId411" ref="A340"/>
    <hyperlink r:id="rId412" ref="B340"/>
    <hyperlink r:id="rId413" ref="A341"/>
    <hyperlink r:id="rId414" ref="B341"/>
    <hyperlink r:id="rId415" ref="A342"/>
    <hyperlink r:id="rId416" ref="A343"/>
    <hyperlink r:id="rId417" ref="B343"/>
    <hyperlink r:id="rId418" ref="A344"/>
    <hyperlink r:id="rId419" ref="B344"/>
    <hyperlink r:id="rId420" ref="A345"/>
    <hyperlink r:id="rId421" ref="B345"/>
    <hyperlink r:id="rId422" ref="A346"/>
    <hyperlink r:id="rId423" ref="B346"/>
    <hyperlink r:id="rId424" ref="A347"/>
    <hyperlink r:id="rId425" ref="B347"/>
    <hyperlink r:id="rId426" ref="A348"/>
    <hyperlink r:id="rId427" ref="B348"/>
    <hyperlink r:id="rId428" ref="A349"/>
    <hyperlink r:id="rId429" ref="A350"/>
    <hyperlink r:id="rId430" ref="B350"/>
    <hyperlink r:id="rId431" ref="A351"/>
    <hyperlink r:id="rId432" ref="B351"/>
    <hyperlink r:id="rId433" ref="A352"/>
    <hyperlink r:id="rId434" ref="A353"/>
    <hyperlink r:id="rId435" ref="A354"/>
    <hyperlink r:id="rId436" ref="A355"/>
    <hyperlink r:id="rId437" ref="A356"/>
    <hyperlink r:id="rId438" ref="A357"/>
    <hyperlink r:id="rId439" ref="A358"/>
    <hyperlink r:id="rId440" ref="A359"/>
    <hyperlink r:id="rId441" ref="A360"/>
    <hyperlink r:id="rId442" ref="A361"/>
    <hyperlink r:id="rId443" ref="A362"/>
    <hyperlink r:id="rId444" ref="A363"/>
    <hyperlink r:id="rId445" ref="A364"/>
    <hyperlink r:id="rId446" ref="A365"/>
    <hyperlink r:id="rId447" ref="A366"/>
    <hyperlink r:id="rId448" ref="A367"/>
    <hyperlink r:id="rId449" ref="B367"/>
    <hyperlink r:id="rId450" ref="A368"/>
    <hyperlink r:id="rId451" ref="A369"/>
    <hyperlink r:id="rId452" ref="A370"/>
    <hyperlink r:id="rId453" ref="A371"/>
    <hyperlink r:id="rId454" ref="A372"/>
    <hyperlink r:id="rId455" ref="A373"/>
    <hyperlink r:id="rId456" ref="B373"/>
    <hyperlink r:id="rId457" ref="A374"/>
    <hyperlink r:id="rId458" ref="A375"/>
    <hyperlink r:id="rId459" ref="A376"/>
    <hyperlink r:id="rId460" ref="A377"/>
    <hyperlink r:id="rId461" ref="A378"/>
    <hyperlink r:id="rId462" ref="A379"/>
    <hyperlink r:id="rId463" ref="A380"/>
    <hyperlink r:id="rId464" ref="B380"/>
    <hyperlink r:id="rId465" ref="A381"/>
    <hyperlink r:id="rId466" ref="A382"/>
    <hyperlink r:id="rId467" ref="A383"/>
    <hyperlink r:id="rId468" ref="A384"/>
    <hyperlink r:id="rId469" ref="A385"/>
    <hyperlink r:id="rId470" ref="A386"/>
    <hyperlink r:id="rId471" ref="A387"/>
    <hyperlink r:id="rId472" ref="A388"/>
    <hyperlink r:id="rId473" ref="A389"/>
    <hyperlink r:id="rId474" ref="A390"/>
    <hyperlink r:id="rId475" ref="A391"/>
    <hyperlink r:id="rId476" ref="A392"/>
    <hyperlink r:id="rId477" ref="A393"/>
    <hyperlink r:id="rId478" ref="A394"/>
    <hyperlink r:id="rId479" ref="A395"/>
    <hyperlink r:id="rId480" ref="A396"/>
    <hyperlink r:id="rId481" ref="A397"/>
    <hyperlink r:id="rId482" ref="A398"/>
    <hyperlink r:id="rId483" ref="A399"/>
    <hyperlink r:id="rId484" ref="A400"/>
    <hyperlink r:id="rId485" ref="A401"/>
    <hyperlink r:id="rId486" ref="B401"/>
    <hyperlink r:id="rId487" ref="A402"/>
    <hyperlink r:id="rId488" ref="B402"/>
  </hyperlinks>
  <drawing r:id="rId489"/>
  <legacyDrawing r:id="rId4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37" t="s">
        <v>1343</v>
      </c>
    </row>
    <row r="2">
      <c r="A2" s="37" t="s">
        <v>1344</v>
      </c>
    </row>
    <row r="3">
      <c r="A3" s="37" t="s">
        <v>847</v>
      </c>
    </row>
    <row r="4">
      <c r="A4" s="37" t="s">
        <v>146</v>
      </c>
    </row>
    <row r="5">
      <c r="A5" s="37" t="s">
        <v>1345</v>
      </c>
    </row>
    <row r="6">
      <c r="A6" s="37" t="s">
        <v>1346</v>
      </c>
    </row>
    <row r="7">
      <c r="A7" s="37">
        <v>4.901601288728E12</v>
      </c>
    </row>
    <row r="8">
      <c r="A8" s="37" t="s">
        <v>1347</v>
      </c>
    </row>
    <row r="9">
      <c r="A9" s="37">
        <v>4.901601937343E12</v>
      </c>
    </row>
    <row r="10">
      <c r="A10" s="37" t="s">
        <v>1348</v>
      </c>
    </row>
    <row r="11">
      <c r="A11" s="37" t="s">
        <v>1349</v>
      </c>
    </row>
    <row r="12">
      <c r="A12" s="37" t="s">
        <v>1350</v>
      </c>
    </row>
    <row r="13">
      <c r="A13" s="37">
        <v>4.910299340854E12</v>
      </c>
    </row>
    <row r="14">
      <c r="A14" s="37">
        <v>4.521329368009E12</v>
      </c>
    </row>
    <row r="15">
      <c r="A15" s="37" t="s">
        <v>1351</v>
      </c>
    </row>
    <row r="16">
      <c r="A16" s="37">
        <v>4.521329266527E12</v>
      </c>
    </row>
    <row r="17">
      <c r="A17" s="93">
        <v>4.549660863748E12</v>
      </c>
    </row>
    <row r="18">
      <c r="A18" s="37">
        <v>9.784092274266E12</v>
      </c>
    </row>
    <row r="19">
      <c r="A19" s="37">
        <v>4.582769865206E12</v>
      </c>
    </row>
    <row r="20">
      <c r="A20" s="37">
        <v>7.5678599316E10</v>
      </c>
    </row>
    <row r="21">
      <c r="A21" s="37" t="s">
        <v>1352</v>
      </c>
    </row>
    <row r="22">
      <c r="A22" s="37">
        <v>7.95864762897E11</v>
      </c>
    </row>
    <row r="23">
      <c r="A23" s="37">
        <v>4.97252505331E12</v>
      </c>
    </row>
    <row r="24">
      <c r="A24" s="37">
        <v>4.972525053181E12</v>
      </c>
    </row>
    <row r="25">
      <c r="A25" s="37" t="s">
        <v>1353</v>
      </c>
    </row>
    <row r="26">
      <c r="A26" s="37" t="s">
        <v>1354</v>
      </c>
    </row>
    <row r="27">
      <c r="A27" s="37">
        <v>4.972525021005E12</v>
      </c>
    </row>
    <row r="28">
      <c r="A28" s="37">
        <v>4.972525021012E12</v>
      </c>
    </row>
    <row r="29">
      <c r="A29" s="37">
        <v>4.972525050586E12</v>
      </c>
    </row>
    <row r="30">
      <c r="A30" s="37">
        <v>4.943674415809E12</v>
      </c>
    </row>
    <row r="31">
      <c r="A31" s="37">
        <v>4.988002437269E12</v>
      </c>
    </row>
    <row r="32">
      <c r="A32" s="37">
        <v>4.547366754759E12</v>
      </c>
    </row>
    <row r="33">
      <c r="A33" s="37">
        <v>4.988001131991E12</v>
      </c>
    </row>
    <row r="34">
      <c r="A34" s="37">
        <v>4.943674402915E12</v>
      </c>
    </row>
    <row r="35">
      <c r="A35" s="37">
        <v>4.547366710892E12</v>
      </c>
    </row>
    <row r="36">
      <c r="A36" s="37">
        <v>4.947864600518E12</v>
      </c>
    </row>
    <row r="37">
      <c r="A37" s="37">
        <v>4.988031754412E12</v>
      </c>
    </row>
    <row r="38">
      <c r="A38" s="37" t="s">
        <v>1355</v>
      </c>
    </row>
    <row r="39">
      <c r="A39" s="37" t="s">
        <v>1356</v>
      </c>
    </row>
    <row r="40">
      <c r="A40" s="37">
        <v>4.943674108947E12</v>
      </c>
    </row>
    <row r="41">
      <c r="A41" s="37">
        <v>4.943674269242E12</v>
      </c>
    </row>
    <row r="42">
      <c r="A42" s="37">
        <v>4.547403007725E12</v>
      </c>
    </row>
    <row r="43">
      <c r="A43" s="37">
        <v>4.58223950947E12</v>
      </c>
    </row>
    <row r="44">
      <c r="A44" s="37">
        <v>4.988031583722E12</v>
      </c>
    </row>
    <row r="45">
      <c r="A45" s="37">
        <v>4.910299371056E12</v>
      </c>
    </row>
    <row r="46">
      <c r="A46" s="37">
        <v>4.910299310956E12</v>
      </c>
    </row>
    <row r="47">
      <c r="A47" s="37"/>
    </row>
    <row r="48">
      <c r="A48" s="37">
        <v>9.784041143346E12</v>
      </c>
    </row>
    <row r="49">
      <c r="A49" s="37">
        <v>9.784041150948E12</v>
      </c>
    </row>
    <row r="50">
      <c r="A50" s="37">
        <v>9.784041163245E12</v>
      </c>
    </row>
    <row r="51">
      <c r="A51" s="37" t="s">
        <v>1357</v>
      </c>
    </row>
    <row r="52">
      <c r="A52" s="37">
        <v>9.784041135419E12</v>
      </c>
    </row>
    <row r="53">
      <c r="A53" s="37"/>
    </row>
    <row r="54">
      <c r="A54" s="37">
        <v>9.784065371398E12</v>
      </c>
    </row>
    <row r="55">
      <c r="A55" s="37">
        <v>9.784065402979E12</v>
      </c>
    </row>
    <row r="56">
      <c r="A56" s="37">
        <v>9.78425332243E12</v>
      </c>
    </row>
    <row r="57">
      <c r="A57" s="37">
        <v>9.784253322416E12</v>
      </c>
    </row>
    <row r="58">
      <c r="A58" s="37"/>
    </row>
    <row r="59">
      <c r="A59" s="37">
        <v>4.943674416202E12</v>
      </c>
    </row>
    <row r="60">
      <c r="A60" s="37"/>
    </row>
    <row r="61">
      <c r="A61" s="37">
        <v>4.943674416196E12</v>
      </c>
    </row>
    <row r="62">
      <c r="A62" s="37">
        <v>4.988017607336E12</v>
      </c>
    </row>
    <row r="63">
      <c r="A63" s="37">
        <v>4.972525020817E12</v>
      </c>
    </row>
    <row r="64">
      <c r="A64" s="37">
        <v>4.972525052788E12</v>
      </c>
    </row>
    <row r="65">
      <c r="A65" s="37">
        <v>4.972525501385E12</v>
      </c>
    </row>
    <row r="66">
      <c r="A66" s="37">
        <v>4.972525535182E12</v>
      </c>
    </row>
    <row r="67">
      <c r="A67" s="37">
        <v>4.972525535175E12</v>
      </c>
    </row>
    <row r="68">
      <c r="A68" s="37">
        <v>4.972525052634E12</v>
      </c>
    </row>
    <row r="69">
      <c r="A69" s="37">
        <v>4.972525052948E12</v>
      </c>
    </row>
    <row r="70">
      <c r="A70" s="37">
        <v>4.901165300744E12</v>
      </c>
    </row>
    <row r="71">
      <c r="A71" s="37">
        <v>4.901165104359E12</v>
      </c>
    </row>
    <row r="72">
      <c r="A72" s="37">
        <v>4.901165202048E12</v>
      </c>
    </row>
    <row r="73">
      <c r="A73" s="37">
        <v>4.907953228986E12</v>
      </c>
    </row>
    <row r="74">
      <c r="A74" s="37">
        <v>4.943674415205E12</v>
      </c>
    </row>
    <row r="75">
      <c r="A75" s="37">
        <v>4.934569369413E12</v>
      </c>
    </row>
    <row r="76">
      <c r="A76" s="37">
        <v>4.589921415651E12</v>
      </c>
    </row>
    <row r="77">
      <c r="A77" s="37">
        <v>4.54736675254E12</v>
      </c>
    </row>
    <row r="78">
      <c r="A78" s="37">
        <v>4.934761415826E12</v>
      </c>
    </row>
    <row r="79">
      <c r="A79" s="37"/>
    </row>
    <row r="80">
      <c r="A80" s="37">
        <v>4.972525052658E12</v>
      </c>
    </row>
    <row r="81">
      <c r="A81" s="37">
        <v>4.972525533157E12</v>
      </c>
    </row>
    <row r="82">
      <c r="A82" s="37">
        <v>4.972525702751E12</v>
      </c>
    </row>
    <row r="83">
      <c r="A83" s="37">
        <v>4.972525020756E12</v>
      </c>
    </row>
    <row r="84">
      <c r="A84" s="37">
        <v>4.972525020763E12</v>
      </c>
    </row>
    <row r="85">
      <c r="A85" s="37">
        <v>4.972525053327E12</v>
      </c>
    </row>
    <row r="86">
      <c r="A86" s="37">
        <v>4.9725250536E12</v>
      </c>
    </row>
    <row r="87">
      <c r="A87" s="37">
        <v>4.902430635035E12</v>
      </c>
    </row>
    <row r="88">
      <c r="A88" s="37">
        <v>7.35317809243E11</v>
      </c>
    </row>
    <row r="89">
      <c r="A89" s="37">
        <v>4.943674403301E12</v>
      </c>
    </row>
    <row r="90">
      <c r="A90" s="37">
        <v>4.902370523379E12</v>
      </c>
    </row>
    <row r="91">
      <c r="A91" s="37">
        <v>4.571614702476E12</v>
      </c>
    </row>
    <row r="92">
      <c r="A92" s="37">
        <v>4.901601278057E12</v>
      </c>
    </row>
    <row r="93">
      <c r="A93" s="37"/>
    </row>
    <row r="94">
      <c r="A94" s="37">
        <v>4.571237661174E12</v>
      </c>
    </row>
    <row r="95">
      <c r="A95" s="37">
        <v>4.571237660764E12</v>
      </c>
    </row>
    <row r="96">
      <c r="A96" s="37">
        <v>4.571237661068E12</v>
      </c>
    </row>
    <row r="97">
      <c r="A97" s="37">
        <v>4.901770010366E12</v>
      </c>
    </row>
    <row r="98">
      <c r="A98" s="37">
        <v>4.513439001488E12</v>
      </c>
    </row>
    <row r="99">
      <c r="A99" s="37">
        <v>4.967645013504E12</v>
      </c>
    </row>
    <row r="100">
      <c r="A100" s="37">
        <v>7.611160288547E12</v>
      </c>
    </row>
    <row r="101">
      <c r="A101" s="37">
        <v>4.901480326832E12</v>
      </c>
    </row>
    <row r="102">
      <c r="A102" s="94" t="s">
        <v>1358</v>
      </c>
    </row>
    <row r="103">
      <c r="A103" s="37">
        <v>4.984909210967E12</v>
      </c>
    </row>
    <row r="104">
      <c r="A104" s="37">
        <v>4.90160120676E12</v>
      </c>
    </row>
    <row r="105">
      <c r="A105" s="37">
        <v>4.573341224337E12</v>
      </c>
    </row>
    <row r="106">
      <c r="A106" s="37">
        <v>4.542202664353E12</v>
      </c>
    </row>
    <row r="107">
      <c r="A107" s="37"/>
    </row>
    <row r="108">
      <c r="A108" s="37"/>
    </row>
    <row r="109">
      <c r="A109" s="37">
        <v>4.988002947966E12</v>
      </c>
    </row>
    <row r="110">
      <c r="A110" s="37">
        <v>4.904790088766E12</v>
      </c>
    </row>
    <row r="111">
      <c r="A111" s="37">
        <v>4.547366756289E12</v>
      </c>
    </row>
    <row r="112">
      <c r="A112" s="93" t="s">
        <v>1359</v>
      </c>
    </row>
    <row r="113">
      <c r="A113" s="37" t="s">
        <v>1360</v>
      </c>
    </row>
    <row r="114">
      <c r="A114" s="93" t="s">
        <v>1359</v>
      </c>
    </row>
    <row r="115">
      <c r="A115" s="37" t="s">
        <v>1361</v>
      </c>
    </row>
    <row r="116">
      <c r="A116" s="37" t="s">
        <v>1362</v>
      </c>
    </row>
    <row r="117">
      <c r="A117" s="37" t="s">
        <v>1363</v>
      </c>
    </row>
    <row r="118">
      <c r="A118" s="37" t="s">
        <v>1364</v>
      </c>
    </row>
    <row r="119">
      <c r="A119" s="37" t="s">
        <v>1365</v>
      </c>
    </row>
    <row r="120">
      <c r="A120" s="37" t="s">
        <v>1366</v>
      </c>
    </row>
    <row r="121">
      <c r="A121" s="37" t="s">
        <v>1367</v>
      </c>
    </row>
    <row r="122">
      <c r="A122" s="37" t="s">
        <v>1368</v>
      </c>
    </row>
    <row r="123">
      <c r="A123" s="37" t="s">
        <v>1369</v>
      </c>
    </row>
    <row r="124">
      <c r="A124" s="37" t="s">
        <v>1370</v>
      </c>
    </row>
    <row r="125">
      <c r="A125" s="37" t="s">
        <v>1371</v>
      </c>
    </row>
    <row r="126">
      <c r="A126" s="37" t="s">
        <v>1372</v>
      </c>
    </row>
    <row r="127">
      <c r="A127" s="37" t="s">
        <v>1373</v>
      </c>
    </row>
    <row r="128">
      <c r="A128" s="37" t="s">
        <v>1374</v>
      </c>
    </row>
    <row r="129">
      <c r="A129" s="93" t="s">
        <v>1375</v>
      </c>
    </row>
    <row r="130">
      <c r="A130" s="37" t="s">
        <v>1376</v>
      </c>
    </row>
    <row r="131">
      <c r="A131" s="37" t="s">
        <v>1377</v>
      </c>
    </row>
    <row r="132">
      <c r="A132" s="37" t="s">
        <v>1378</v>
      </c>
    </row>
    <row r="133">
      <c r="A133" s="37"/>
    </row>
    <row r="134">
      <c r="A134" s="37"/>
    </row>
    <row r="135">
      <c r="A135" s="37" t="s">
        <v>1379</v>
      </c>
    </row>
    <row r="136">
      <c r="A136" s="37" t="s">
        <v>1380</v>
      </c>
    </row>
    <row r="137">
      <c r="A137" s="37" t="s">
        <v>1381</v>
      </c>
    </row>
    <row r="138">
      <c r="A138" s="37" t="s">
        <v>1382</v>
      </c>
    </row>
    <row r="139">
      <c r="A139" s="95" t="s">
        <v>1383</v>
      </c>
    </row>
    <row r="140">
      <c r="A140" s="37" t="s">
        <v>1384</v>
      </c>
    </row>
    <row r="141">
      <c r="A141" s="37" t="s">
        <v>1385</v>
      </c>
    </row>
    <row r="142">
      <c r="A142" s="37" t="s">
        <v>1386</v>
      </c>
    </row>
    <row r="143">
      <c r="A143" s="37" t="s">
        <v>1387</v>
      </c>
    </row>
    <row r="144">
      <c r="A144" s="93" t="s">
        <v>1388</v>
      </c>
    </row>
    <row r="145">
      <c r="A145" s="37" t="s">
        <v>1389</v>
      </c>
    </row>
    <row r="146">
      <c r="A146" s="93" t="s">
        <v>1388</v>
      </c>
    </row>
    <row r="147">
      <c r="A147" s="37" t="s">
        <v>1390</v>
      </c>
    </row>
    <row r="148">
      <c r="A148" s="37" t="s">
        <v>1391</v>
      </c>
    </row>
    <row r="149">
      <c r="A149" s="37" t="s">
        <v>1392</v>
      </c>
    </row>
    <row r="150">
      <c r="A150" s="37" t="s">
        <v>1393</v>
      </c>
    </row>
    <row r="151">
      <c r="A151" s="37" t="s">
        <v>1394</v>
      </c>
    </row>
    <row r="152">
      <c r="A152" s="37" t="s">
        <v>1395</v>
      </c>
    </row>
    <row r="153">
      <c r="A153" s="37" t="s">
        <v>1396</v>
      </c>
    </row>
    <row r="154">
      <c r="A154" s="37" t="s">
        <v>1397</v>
      </c>
    </row>
    <row r="155">
      <c r="A155" s="37" t="s">
        <v>1398</v>
      </c>
    </row>
    <row r="156">
      <c r="A156" s="37" t="s">
        <v>1399</v>
      </c>
    </row>
    <row r="157">
      <c r="A157" s="37" t="s">
        <v>1400</v>
      </c>
    </row>
    <row r="158">
      <c r="A158" s="37" t="s">
        <v>1401</v>
      </c>
    </row>
    <row r="159">
      <c r="A159" s="37" t="s">
        <v>1402</v>
      </c>
    </row>
    <row r="160">
      <c r="A160" s="37" t="s">
        <v>1403</v>
      </c>
    </row>
    <row r="161">
      <c r="A161" s="37" t="s">
        <v>1404</v>
      </c>
    </row>
    <row r="162">
      <c r="A162" s="37" t="s">
        <v>1405</v>
      </c>
    </row>
    <row r="163">
      <c r="A163" s="37" t="s">
        <v>1406</v>
      </c>
    </row>
    <row r="164">
      <c r="A164" s="37" t="s">
        <v>1407</v>
      </c>
    </row>
    <row r="165">
      <c r="A165" s="37" t="s">
        <v>1408</v>
      </c>
    </row>
    <row r="166">
      <c r="A166" s="37" t="s">
        <v>1409</v>
      </c>
    </row>
    <row r="167">
      <c r="A167" s="37"/>
    </row>
    <row r="168">
      <c r="A168" s="37" t="s">
        <v>1410</v>
      </c>
    </row>
    <row r="169">
      <c r="A169" s="37" t="s">
        <v>1411</v>
      </c>
    </row>
    <row r="170">
      <c r="A170" s="37" t="s">
        <v>1412</v>
      </c>
    </row>
    <row r="171">
      <c r="A171" s="37" t="s">
        <v>1413</v>
      </c>
    </row>
    <row r="172">
      <c r="A172" s="37" t="s">
        <v>1414</v>
      </c>
    </row>
    <row r="173">
      <c r="A173" s="37" t="s">
        <v>1415</v>
      </c>
    </row>
    <row r="174">
      <c r="A174" s="37" t="s">
        <v>1416</v>
      </c>
    </row>
    <row r="175">
      <c r="A175" s="37" t="s">
        <v>1417</v>
      </c>
    </row>
    <row r="176">
      <c r="A176" s="37" t="s">
        <v>1418</v>
      </c>
    </row>
    <row r="177">
      <c r="A177" s="37"/>
    </row>
    <row r="178">
      <c r="A178" s="37" t="s">
        <v>1419</v>
      </c>
    </row>
    <row r="179">
      <c r="A179" s="37" t="s">
        <v>1420</v>
      </c>
    </row>
    <row r="180">
      <c r="A180" s="37" t="s">
        <v>1421</v>
      </c>
    </row>
    <row r="181">
      <c r="A181" s="96" t="s">
        <v>1422</v>
      </c>
    </row>
    <row r="182">
      <c r="A182" s="37" t="s">
        <v>1423</v>
      </c>
    </row>
    <row r="183">
      <c r="A183" s="29"/>
    </row>
    <row r="184">
      <c r="A184" s="37"/>
    </row>
    <row r="185">
      <c r="A185" s="37" t="s">
        <v>1424</v>
      </c>
    </row>
    <row r="186">
      <c r="A186" s="37" t="s">
        <v>1425</v>
      </c>
    </row>
    <row r="187">
      <c r="A187" s="37" t="s">
        <v>1426</v>
      </c>
    </row>
    <row r="188">
      <c r="A188" s="37" t="s">
        <v>1427</v>
      </c>
    </row>
    <row r="189">
      <c r="A189" s="37" t="s">
        <v>1428</v>
      </c>
    </row>
    <row r="190">
      <c r="A190" s="37" t="s">
        <v>1429</v>
      </c>
    </row>
    <row r="191">
      <c r="A191" s="37">
        <v>4.547366694253E12</v>
      </c>
    </row>
    <row r="192">
      <c r="A192" s="37">
        <v>4.988002367139E12</v>
      </c>
    </row>
    <row r="193">
      <c r="A193" s="37">
        <v>4.970181259435E12</v>
      </c>
    </row>
    <row r="194">
      <c r="A194" s="37">
        <v>4.905040156365E12</v>
      </c>
    </row>
    <row r="195">
      <c r="A195" s="37">
        <v>4.905040148711E12</v>
      </c>
    </row>
    <row r="196">
      <c r="A196" s="37">
        <v>4.905040159564E12</v>
      </c>
    </row>
    <row r="197">
      <c r="A197" s="37">
        <v>4.905040159687E12</v>
      </c>
    </row>
    <row r="198">
      <c r="A198" s="37" t="s">
        <v>1430</v>
      </c>
    </row>
    <row r="199">
      <c r="A199" s="37" t="s">
        <v>1431</v>
      </c>
    </row>
    <row r="200">
      <c r="A200" s="37" t="s">
        <v>1432</v>
      </c>
    </row>
    <row r="201">
      <c r="A201" s="37" t="s">
        <v>1433</v>
      </c>
    </row>
    <row r="202">
      <c r="A202" s="37" t="s">
        <v>1434</v>
      </c>
    </row>
    <row r="203">
      <c r="A203" s="37" t="s">
        <v>1435</v>
      </c>
    </row>
    <row r="204">
      <c r="A204" s="37" t="s">
        <v>1436</v>
      </c>
    </row>
    <row r="205">
      <c r="A205" s="37" t="s">
        <v>1437</v>
      </c>
    </row>
    <row r="206">
      <c r="A206" s="37" t="s">
        <v>1438</v>
      </c>
    </row>
    <row r="207">
      <c r="A207" s="37" t="s">
        <v>1439</v>
      </c>
    </row>
    <row r="208">
      <c r="A208" s="37" t="s">
        <v>1440</v>
      </c>
    </row>
    <row r="209">
      <c r="A209" s="37" t="s">
        <v>1441</v>
      </c>
    </row>
    <row r="210">
      <c r="A210" s="37" t="s">
        <v>1442</v>
      </c>
    </row>
    <row r="211">
      <c r="A211" s="37" t="s">
        <v>1443</v>
      </c>
    </row>
    <row r="212">
      <c r="A212" s="37" t="s">
        <v>1444</v>
      </c>
    </row>
    <row r="213">
      <c r="A213" s="37" t="s">
        <v>1445</v>
      </c>
    </row>
    <row r="214">
      <c r="A214" s="37" t="s">
        <v>1446</v>
      </c>
    </row>
    <row r="215">
      <c r="A215" s="37" t="s">
        <v>1447</v>
      </c>
    </row>
    <row r="216">
      <c r="A216" s="37" t="s">
        <v>1448</v>
      </c>
    </row>
    <row r="217">
      <c r="A217" s="37" t="s">
        <v>1449</v>
      </c>
    </row>
    <row r="218">
      <c r="A218" s="37" t="s">
        <v>1450</v>
      </c>
    </row>
    <row r="219">
      <c r="A219" s="37" t="s">
        <v>1451</v>
      </c>
    </row>
    <row r="220">
      <c r="A220" s="37" t="s">
        <v>1452</v>
      </c>
    </row>
    <row r="221">
      <c r="A221" s="37" t="s">
        <v>1453</v>
      </c>
    </row>
    <row r="222">
      <c r="A222" s="37" t="s">
        <v>1454</v>
      </c>
    </row>
    <row r="223">
      <c r="A223" s="37" t="s">
        <v>1455</v>
      </c>
    </row>
    <row r="224">
      <c r="A224" s="37"/>
    </row>
    <row r="225">
      <c r="A225" s="37"/>
    </row>
    <row r="226">
      <c r="A226" s="37" t="s">
        <v>1456</v>
      </c>
    </row>
    <row r="227">
      <c r="A227" s="37"/>
    </row>
    <row r="228">
      <c r="A228" s="37" t="s">
        <v>1457</v>
      </c>
    </row>
    <row r="229">
      <c r="A229" s="37" t="s">
        <v>1458</v>
      </c>
    </row>
    <row r="230">
      <c r="A230" s="37" t="s">
        <v>1459</v>
      </c>
    </row>
    <row r="231">
      <c r="A231" s="37" t="s">
        <v>1460</v>
      </c>
    </row>
    <row r="232">
      <c r="A232" s="37" t="s">
        <v>1461</v>
      </c>
    </row>
    <row r="233">
      <c r="A233" s="37" t="s">
        <v>1462</v>
      </c>
    </row>
    <row r="234">
      <c r="A234" s="37"/>
    </row>
    <row r="235">
      <c r="A235" s="37"/>
    </row>
    <row r="236">
      <c r="A236" s="37" t="s">
        <v>1463</v>
      </c>
    </row>
    <row r="237">
      <c r="A237" s="37" t="s">
        <v>1464</v>
      </c>
    </row>
    <row r="238">
      <c r="A238" s="37" t="s">
        <v>1465</v>
      </c>
    </row>
    <row r="239">
      <c r="A239" s="37" t="s">
        <v>1466</v>
      </c>
    </row>
    <row r="240">
      <c r="A240" s="93" t="s">
        <v>1467</v>
      </c>
    </row>
    <row r="241">
      <c r="A241" s="93" t="s">
        <v>1467</v>
      </c>
    </row>
    <row r="242">
      <c r="A242" s="37" t="s">
        <v>1468</v>
      </c>
    </row>
    <row r="243">
      <c r="A243" s="37" t="s">
        <v>1469</v>
      </c>
    </row>
    <row r="244">
      <c r="A244" s="37" t="s">
        <v>1470</v>
      </c>
    </row>
    <row r="245">
      <c r="A245" s="37" t="s">
        <v>1471</v>
      </c>
    </row>
    <row r="246">
      <c r="A246" s="37" t="s">
        <v>1472</v>
      </c>
    </row>
    <row r="247">
      <c r="A247" s="93" t="s">
        <v>1375</v>
      </c>
    </row>
    <row r="248">
      <c r="A248" s="37" t="s">
        <v>1473</v>
      </c>
    </row>
    <row r="249">
      <c r="A249" s="37" t="s">
        <v>1474</v>
      </c>
    </row>
    <row r="250">
      <c r="A250" s="37" t="s">
        <v>1475</v>
      </c>
    </row>
    <row r="251">
      <c r="A251" s="37" t="s">
        <v>1476</v>
      </c>
    </row>
    <row r="252">
      <c r="A252" s="37" t="s">
        <v>1477</v>
      </c>
    </row>
    <row r="253">
      <c r="A253" s="37" t="s">
        <v>1478</v>
      </c>
    </row>
    <row r="254">
      <c r="A254" s="37" t="s">
        <v>1479</v>
      </c>
    </row>
    <row r="255">
      <c r="A255" s="37" t="s">
        <v>1480</v>
      </c>
    </row>
    <row r="256">
      <c r="A256" s="37" t="s">
        <v>1481</v>
      </c>
    </row>
    <row r="257">
      <c r="A257" s="37" t="s">
        <v>1482</v>
      </c>
    </row>
    <row r="258">
      <c r="A258" s="37" t="s">
        <v>1483</v>
      </c>
    </row>
    <row r="259">
      <c r="A259" s="93" t="s">
        <v>1467</v>
      </c>
    </row>
    <row r="260">
      <c r="A260" s="37" t="s">
        <v>1484</v>
      </c>
    </row>
    <row r="261">
      <c r="A261" s="37" t="s">
        <v>1485</v>
      </c>
    </row>
    <row r="262">
      <c r="A262" s="37" t="s">
        <v>1486</v>
      </c>
    </row>
    <row r="263">
      <c r="A263" s="37" t="s">
        <v>1487</v>
      </c>
    </row>
    <row r="264">
      <c r="A264" s="37" t="s">
        <v>1488</v>
      </c>
    </row>
    <row r="265">
      <c r="A265" s="37" t="s">
        <v>1489</v>
      </c>
    </row>
    <row r="266">
      <c r="A266" s="37" t="s">
        <v>1490</v>
      </c>
    </row>
    <row r="267">
      <c r="A267" s="37"/>
    </row>
    <row r="268">
      <c r="A268" s="37" t="s">
        <v>1491</v>
      </c>
    </row>
    <row r="269">
      <c r="A269" s="37" t="s">
        <v>1492</v>
      </c>
    </row>
    <row r="270">
      <c r="A270" s="37" t="s">
        <v>1493</v>
      </c>
    </row>
    <row r="271">
      <c r="A271" s="37" t="s">
        <v>1494</v>
      </c>
    </row>
    <row r="272">
      <c r="A272" s="37"/>
    </row>
    <row r="273">
      <c r="A273" s="37" t="s">
        <v>1495</v>
      </c>
    </row>
    <row r="274">
      <c r="A274" s="37" t="s">
        <v>1496</v>
      </c>
    </row>
    <row r="275">
      <c r="A275" s="37" t="s">
        <v>1497</v>
      </c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 t="s">
        <v>1498</v>
      </c>
    </row>
    <row r="283">
      <c r="A283" s="37" t="s">
        <v>1499</v>
      </c>
    </row>
    <row r="284">
      <c r="A284" s="37" t="s">
        <v>1500</v>
      </c>
    </row>
    <row r="285">
      <c r="A285" s="37" t="s">
        <v>1501</v>
      </c>
    </row>
    <row r="286">
      <c r="A286" s="37" t="s">
        <v>1502</v>
      </c>
    </row>
    <row r="287">
      <c r="A287" s="37" t="s">
        <v>1503</v>
      </c>
    </row>
    <row r="288">
      <c r="A288" s="37" t="s">
        <v>1504</v>
      </c>
    </row>
    <row r="289">
      <c r="A289" s="37" t="s">
        <v>1505</v>
      </c>
    </row>
    <row r="290">
      <c r="A290" s="37" t="s">
        <v>1506</v>
      </c>
    </row>
    <row r="291">
      <c r="A291" s="37" t="s">
        <v>1507</v>
      </c>
    </row>
    <row r="292">
      <c r="A292" s="37" t="s">
        <v>1508</v>
      </c>
    </row>
    <row r="293">
      <c r="A293" s="37" t="s">
        <v>1509</v>
      </c>
    </row>
    <row r="294">
      <c r="A294" s="37" t="s">
        <v>1510</v>
      </c>
    </row>
    <row r="295">
      <c r="A295" s="37" t="s">
        <v>1511</v>
      </c>
    </row>
    <row r="296">
      <c r="A296" s="37"/>
    </row>
    <row r="297">
      <c r="A297" s="37"/>
    </row>
    <row r="298">
      <c r="A298" s="37" t="s">
        <v>1512</v>
      </c>
    </row>
    <row r="299">
      <c r="A299" s="37" t="s">
        <v>1513</v>
      </c>
    </row>
    <row r="300">
      <c r="A300" s="37" t="s">
        <v>1514</v>
      </c>
    </row>
    <row r="301">
      <c r="A301" s="37" t="s">
        <v>1515</v>
      </c>
    </row>
    <row r="302">
      <c r="A302" s="37" t="s">
        <v>1516</v>
      </c>
    </row>
    <row r="303">
      <c r="A303" s="37" t="s">
        <v>1517</v>
      </c>
    </row>
    <row r="304">
      <c r="A304" s="37" t="s">
        <v>1518</v>
      </c>
    </row>
    <row r="305">
      <c r="A305" s="37" t="s">
        <v>1519</v>
      </c>
    </row>
    <row r="306">
      <c r="A306" s="37"/>
    </row>
    <row r="307">
      <c r="A307" s="37" t="s">
        <v>1520</v>
      </c>
    </row>
    <row r="308">
      <c r="A308" s="37" t="s">
        <v>1521</v>
      </c>
    </row>
    <row r="309">
      <c r="A309" s="37" t="s">
        <v>1522</v>
      </c>
    </row>
    <row r="310">
      <c r="A310" s="37" t="s">
        <v>1523</v>
      </c>
    </row>
    <row r="311">
      <c r="A311" s="37" t="s">
        <v>1524</v>
      </c>
    </row>
    <row r="312">
      <c r="A312" s="37" t="s">
        <v>1525</v>
      </c>
    </row>
    <row r="313">
      <c r="A313" s="37" t="s">
        <v>1526</v>
      </c>
    </row>
    <row r="314">
      <c r="A314" s="37" t="s">
        <v>1527</v>
      </c>
    </row>
    <row r="315">
      <c r="A315" s="37" t="s">
        <v>1528</v>
      </c>
    </row>
    <row r="316">
      <c r="A316" s="37" t="s">
        <v>1529</v>
      </c>
    </row>
    <row r="317">
      <c r="A317" s="37" t="s">
        <v>1530</v>
      </c>
    </row>
    <row r="318">
      <c r="A318" s="37" t="s">
        <v>1531</v>
      </c>
    </row>
    <row r="319">
      <c r="A319" s="29"/>
    </row>
    <row r="320">
      <c r="A320" s="37" t="s">
        <v>1532</v>
      </c>
    </row>
    <row r="321">
      <c r="A321" s="37" t="s">
        <v>1533</v>
      </c>
    </row>
    <row r="322">
      <c r="A322" s="37" t="s">
        <v>1534</v>
      </c>
    </row>
    <row r="323">
      <c r="A323" s="37"/>
    </row>
    <row r="324">
      <c r="A324" s="37" t="s">
        <v>1535</v>
      </c>
    </row>
    <row r="325">
      <c r="A325" s="37" t="s">
        <v>1536</v>
      </c>
    </row>
    <row r="326">
      <c r="A326" s="37" t="s">
        <v>1537</v>
      </c>
    </row>
    <row r="327">
      <c r="A327" s="37" t="s">
        <v>1538</v>
      </c>
    </row>
    <row r="328">
      <c r="A328" s="37" t="s">
        <v>1539</v>
      </c>
    </row>
    <row r="329">
      <c r="A329" s="37" t="s">
        <v>1540</v>
      </c>
    </row>
    <row r="330">
      <c r="A330" s="37" t="s">
        <v>1541</v>
      </c>
    </row>
    <row r="331">
      <c r="A331" s="37" t="s">
        <v>1542</v>
      </c>
    </row>
    <row r="332">
      <c r="A332" s="37" t="s">
        <v>1543</v>
      </c>
    </row>
    <row r="333">
      <c r="A333" s="37" t="s">
        <v>1544</v>
      </c>
    </row>
    <row r="334">
      <c r="A334" s="37" t="s">
        <v>1545</v>
      </c>
    </row>
    <row r="335">
      <c r="A335" s="37" t="s">
        <v>1546</v>
      </c>
    </row>
    <row r="336">
      <c r="A336" s="37" t="s">
        <v>1547</v>
      </c>
    </row>
    <row r="337">
      <c r="A337" s="93" t="s">
        <v>1467</v>
      </c>
    </row>
    <row r="338">
      <c r="A338" s="37" t="s">
        <v>1548</v>
      </c>
    </row>
    <row r="339">
      <c r="A339" s="37" t="s">
        <v>1549</v>
      </c>
    </row>
    <row r="340">
      <c r="A340" s="37" t="s">
        <v>1550</v>
      </c>
    </row>
    <row r="341">
      <c r="A341" s="37" t="s">
        <v>1551</v>
      </c>
    </row>
    <row r="342">
      <c r="A342" s="97" t="s">
        <v>1552</v>
      </c>
    </row>
    <row r="343">
      <c r="A343" s="37" t="s">
        <v>1553</v>
      </c>
    </row>
    <row r="344">
      <c r="A344" s="37" t="s">
        <v>1554</v>
      </c>
    </row>
    <row r="345">
      <c r="A345" s="37" t="s">
        <v>1555</v>
      </c>
    </row>
    <row r="346">
      <c r="A346" s="37" t="s">
        <v>1556</v>
      </c>
    </row>
    <row r="347">
      <c r="A347" s="37" t="s">
        <v>1557</v>
      </c>
    </row>
    <row r="348">
      <c r="A348" s="37" t="s">
        <v>1558</v>
      </c>
    </row>
    <row r="349">
      <c r="A349" s="37" t="s">
        <v>1559</v>
      </c>
    </row>
    <row r="350">
      <c r="A350" s="37"/>
    </row>
    <row r="351">
      <c r="A351" s="96" t="s">
        <v>1560</v>
      </c>
    </row>
    <row r="352">
      <c r="A352" s="37" t="s">
        <v>1561</v>
      </c>
    </row>
    <row r="353">
      <c r="A353" s="37" t="s">
        <v>1562</v>
      </c>
    </row>
    <row r="354">
      <c r="A354" s="37" t="s">
        <v>1563</v>
      </c>
    </row>
    <row r="355">
      <c r="A355" s="37" t="s">
        <v>1564</v>
      </c>
    </row>
    <row r="356">
      <c r="A356" s="37" t="s">
        <v>1565</v>
      </c>
    </row>
    <row r="357">
      <c r="A357" s="37" t="s">
        <v>1566</v>
      </c>
    </row>
    <row r="358">
      <c r="A358" s="93" t="s">
        <v>1467</v>
      </c>
    </row>
    <row r="359">
      <c r="A359" s="37" t="s">
        <v>1567</v>
      </c>
    </row>
    <row r="360">
      <c r="A360" s="37" t="s">
        <v>1568</v>
      </c>
    </row>
    <row r="361">
      <c r="A361" s="37"/>
    </row>
    <row r="362">
      <c r="A362" s="37"/>
    </row>
    <row r="363">
      <c r="A363" s="37" t="s">
        <v>1569</v>
      </c>
    </row>
    <row r="364">
      <c r="A364" s="37" t="s">
        <v>1570</v>
      </c>
    </row>
    <row r="365">
      <c r="A365" s="37" t="s">
        <v>1571</v>
      </c>
    </row>
    <row r="366">
      <c r="A366" s="37" t="s">
        <v>1572</v>
      </c>
    </row>
    <row r="367">
      <c r="A367" s="37"/>
    </row>
    <row r="368">
      <c r="A368" s="95" t="s">
        <v>1573</v>
      </c>
    </row>
    <row r="369">
      <c r="A369" s="98" t="s">
        <v>1574</v>
      </c>
    </row>
    <row r="370">
      <c r="A370" s="37" t="s">
        <v>1575</v>
      </c>
    </row>
    <row r="371">
      <c r="A371" s="95" t="s">
        <v>1576</v>
      </c>
    </row>
    <row r="372">
      <c r="A372" s="37" t="s">
        <v>1577</v>
      </c>
    </row>
    <row r="373">
      <c r="A373" s="99" t="s">
        <v>1578</v>
      </c>
    </row>
    <row r="374">
      <c r="A374" s="37"/>
    </row>
    <row r="375">
      <c r="A375" s="37"/>
    </row>
    <row r="376">
      <c r="A376" s="37" t="s">
        <v>1579</v>
      </c>
    </row>
    <row r="377">
      <c r="A377" s="37" t="s">
        <v>1580</v>
      </c>
    </row>
    <row r="378">
      <c r="A378" s="37" t="s">
        <v>1581</v>
      </c>
    </row>
    <row r="379">
      <c r="A379" s="37" t="s">
        <v>1582</v>
      </c>
    </row>
    <row r="380">
      <c r="A380" s="37" t="s">
        <v>1583</v>
      </c>
    </row>
    <row r="381">
      <c r="A381" s="37" t="s">
        <v>1584</v>
      </c>
    </row>
    <row r="382">
      <c r="A382" s="37" t="s">
        <v>1585</v>
      </c>
    </row>
    <row r="383">
      <c r="A383" s="100" t="s">
        <v>1586</v>
      </c>
    </row>
    <row r="384">
      <c r="A384" s="100" t="s">
        <v>1587</v>
      </c>
    </row>
    <row r="385">
      <c r="A385" s="37" t="s">
        <v>1588</v>
      </c>
    </row>
    <row r="386">
      <c r="A386" s="37" t="s">
        <v>1589</v>
      </c>
    </row>
    <row r="387">
      <c r="A387" s="37" t="s">
        <v>1590</v>
      </c>
    </row>
    <row r="388">
      <c r="A388" s="37" t="s">
        <v>1591</v>
      </c>
    </row>
    <row r="389">
      <c r="A389" s="37" t="s">
        <v>1592</v>
      </c>
    </row>
    <row r="390">
      <c r="A390" s="101"/>
    </row>
    <row r="391">
      <c r="A391" s="101"/>
    </row>
    <row r="392">
      <c r="A392" s="101"/>
    </row>
    <row r="393">
      <c r="A393" s="37" t="s">
        <v>1593</v>
      </c>
    </row>
    <row r="394">
      <c r="A394" s="37" t="s">
        <v>1594</v>
      </c>
    </row>
    <row r="395">
      <c r="A395" s="37" t="s">
        <v>1595</v>
      </c>
    </row>
    <row r="396">
      <c r="A396" s="100" t="s">
        <v>1596</v>
      </c>
    </row>
    <row r="397">
      <c r="A397" s="37" t="s">
        <v>1597</v>
      </c>
    </row>
    <row r="398">
      <c r="A398" s="37" t="s">
        <v>1598</v>
      </c>
    </row>
    <row r="399">
      <c r="A399" s="37" t="s">
        <v>1599</v>
      </c>
    </row>
    <row r="400">
      <c r="A400" s="37" t="s">
        <v>1600</v>
      </c>
    </row>
    <row r="401">
      <c r="A401" s="37"/>
    </row>
    <row r="402">
      <c r="A402" s="37" t="s">
        <v>1601</v>
      </c>
    </row>
    <row r="403">
      <c r="A403" s="37" t="s">
        <v>1602</v>
      </c>
    </row>
    <row r="404">
      <c r="A404" s="37" t="s">
        <v>1603</v>
      </c>
    </row>
    <row r="405">
      <c r="A405" s="37" t="s">
        <v>1604</v>
      </c>
    </row>
    <row r="406">
      <c r="A406" s="37" t="s">
        <v>1605</v>
      </c>
    </row>
    <row r="407">
      <c r="A407" s="37"/>
    </row>
    <row r="408">
      <c r="A408" s="37" t="s">
        <v>1606</v>
      </c>
    </row>
    <row r="409">
      <c r="A409" s="37" t="s">
        <v>1607</v>
      </c>
    </row>
    <row r="410">
      <c r="A410" s="37" t="s">
        <v>1608</v>
      </c>
    </row>
    <row r="411">
      <c r="A411" s="37"/>
    </row>
    <row r="412">
      <c r="A412" s="97" t="s">
        <v>1609</v>
      </c>
    </row>
    <row r="413">
      <c r="A413" s="97" t="s">
        <v>1610</v>
      </c>
    </row>
    <row r="414">
      <c r="A414" s="97" t="s">
        <v>1611</v>
      </c>
    </row>
    <row r="415">
      <c r="A415" s="97" t="s">
        <v>1612</v>
      </c>
    </row>
    <row r="416">
      <c r="A416" s="97" t="s">
        <v>1613</v>
      </c>
    </row>
    <row r="417">
      <c r="A417" s="97" t="s">
        <v>1614</v>
      </c>
    </row>
    <row r="418">
      <c r="A418" s="97" t="s">
        <v>1615</v>
      </c>
    </row>
    <row r="419">
      <c r="A419" s="97" t="s">
        <v>1616</v>
      </c>
    </row>
    <row r="420">
      <c r="A420" s="97" t="s">
        <v>1617</v>
      </c>
    </row>
    <row r="421">
      <c r="A421" s="97" t="s">
        <v>1618</v>
      </c>
    </row>
    <row r="422">
      <c r="A422" s="97" t="s">
        <v>1619</v>
      </c>
    </row>
    <row r="423">
      <c r="A423" s="97" t="s">
        <v>1620</v>
      </c>
    </row>
    <row r="424">
      <c r="A424" s="97" t="s">
        <v>1621</v>
      </c>
    </row>
    <row r="425">
      <c r="A425" s="97" t="s">
        <v>1622</v>
      </c>
    </row>
    <row r="426">
      <c r="A426" s="97" t="s">
        <v>1623</v>
      </c>
    </row>
    <row r="427">
      <c r="A427" s="97" t="s">
        <v>1624</v>
      </c>
    </row>
    <row r="428">
      <c r="A428" s="97">
        <v>5.056635617781E12</v>
      </c>
    </row>
    <row r="429">
      <c r="A429" s="97" t="s">
        <v>1625</v>
      </c>
    </row>
    <row r="430">
      <c r="A430" s="102" t="s">
        <v>1626</v>
      </c>
    </row>
    <row r="431">
      <c r="A431" s="102" t="s">
        <v>1626</v>
      </c>
    </row>
    <row r="432">
      <c r="A432" s="37"/>
    </row>
    <row r="433">
      <c r="A433" s="97" t="s">
        <v>1627</v>
      </c>
    </row>
    <row r="434">
      <c r="A434" s="97" t="s">
        <v>1628</v>
      </c>
    </row>
    <row r="435">
      <c r="A435" s="37"/>
    </row>
    <row r="436">
      <c r="A436" s="97" t="s">
        <v>1629</v>
      </c>
    </row>
    <row r="437">
      <c r="A437" s="97" t="s">
        <v>1630</v>
      </c>
    </row>
    <row r="438">
      <c r="A438" s="95" t="s">
        <v>1631</v>
      </c>
    </row>
    <row r="439">
      <c r="A439" s="95" t="s">
        <v>1632</v>
      </c>
    </row>
    <row r="440">
      <c r="A440" s="96" t="s">
        <v>1633</v>
      </c>
    </row>
    <row r="441">
      <c r="A441" s="95" t="s">
        <v>1634</v>
      </c>
    </row>
    <row r="442">
      <c r="A442" s="95" t="s">
        <v>1635</v>
      </c>
    </row>
    <row r="443">
      <c r="A443" s="96" t="s">
        <v>1636</v>
      </c>
    </row>
    <row r="444">
      <c r="A444" s="95" t="s">
        <v>1637</v>
      </c>
    </row>
    <row r="445">
      <c r="A445" s="97" t="s">
        <v>1638</v>
      </c>
    </row>
    <row r="446">
      <c r="A446" s="97" t="s">
        <v>1639</v>
      </c>
    </row>
    <row r="447">
      <c r="A447" s="97" t="s">
        <v>1640</v>
      </c>
    </row>
    <row r="448">
      <c r="A448" s="97" t="s">
        <v>1641</v>
      </c>
    </row>
    <row r="449">
      <c r="A449" s="97" t="s">
        <v>1642</v>
      </c>
    </row>
    <row r="450">
      <c r="A450" s="97" t="s">
        <v>1643</v>
      </c>
    </row>
    <row r="451">
      <c r="A451" s="97" t="s">
        <v>1644</v>
      </c>
    </row>
    <row r="452">
      <c r="A452" s="97" t="s">
        <v>1645</v>
      </c>
    </row>
    <row r="453">
      <c r="A453" s="97" t="s">
        <v>1646</v>
      </c>
    </row>
    <row r="454">
      <c r="A454" s="97" t="s">
        <v>1647</v>
      </c>
    </row>
    <row r="455">
      <c r="A455" s="97" t="s">
        <v>1648</v>
      </c>
    </row>
    <row r="456">
      <c r="A456" s="37"/>
    </row>
    <row r="457">
      <c r="A457" s="97" t="s">
        <v>1649</v>
      </c>
    </row>
    <row r="458">
      <c r="A458" s="37"/>
    </row>
    <row r="459">
      <c r="A459" s="97" t="s">
        <v>1650</v>
      </c>
    </row>
    <row r="460">
      <c r="A460" s="97" t="s">
        <v>1651</v>
      </c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97" t="s">
        <v>1652</v>
      </c>
    </row>
    <row r="475">
      <c r="A475" s="97" t="s">
        <v>1653</v>
      </c>
    </row>
    <row r="476">
      <c r="A476" s="97" t="s">
        <v>1654</v>
      </c>
    </row>
    <row r="477">
      <c r="A477" s="97" t="s">
        <v>1655</v>
      </c>
    </row>
    <row r="478">
      <c r="A478" s="97" t="s">
        <v>1656</v>
      </c>
    </row>
    <row r="479">
      <c r="A479" s="97" t="s">
        <v>1657</v>
      </c>
    </row>
    <row r="480">
      <c r="A480" s="37"/>
    </row>
    <row r="481">
      <c r="A481" s="97" t="s">
        <v>1658</v>
      </c>
    </row>
    <row r="482">
      <c r="A482" s="97" t="s">
        <v>1659</v>
      </c>
    </row>
    <row r="483">
      <c r="A483" s="97" t="s">
        <v>1660</v>
      </c>
    </row>
    <row r="484">
      <c r="A484" s="97" t="s">
        <v>1661</v>
      </c>
    </row>
    <row r="485">
      <c r="A485" s="97" t="s">
        <v>1662</v>
      </c>
    </row>
    <row r="486">
      <c r="A486" s="97" t="s">
        <v>1663</v>
      </c>
    </row>
    <row r="487">
      <c r="A487" s="37"/>
    </row>
    <row r="488">
      <c r="A488" s="37"/>
    </row>
    <row r="489">
      <c r="A489" s="37"/>
    </row>
    <row r="490">
      <c r="A490" s="37"/>
    </row>
    <row r="491">
      <c r="A491" s="97" t="s">
        <v>1664</v>
      </c>
    </row>
    <row r="492">
      <c r="A492" s="97" t="s">
        <v>1665</v>
      </c>
    </row>
    <row r="493">
      <c r="A493" s="102" t="s">
        <v>1467</v>
      </c>
    </row>
    <row r="494">
      <c r="A494" s="97" t="s">
        <v>1666</v>
      </c>
    </row>
    <row r="495">
      <c r="A495" s="97" t="s">
        <v>1667</v>
      </c>
    </row>
    <row r="496">
      <c r="A496" s="97" t="s">
        <v>1668</v>
      </c>
    </row>
    <row r="497">
      <c r="A497" s="97" t="s">
        <v>1669</v>
      </c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97" t="s">
        <v>1670</v>
      </c>
    </row>
    <row r="504">
      <c r="A504" s="97" t="s">
        <v>1671</v>
      </c>
    </row>
    <row r="505">
      <c r="A505" s="103">
        <v>4.988031161791E12</v>
      </c>
    </row>
    <row r="506">
      <c r="A506" s="103">
        <v>4.534530014511E12</v>
      </c>
    </row>
    <row r="507">
      <c r="A507" s="103">
        <v>4.534530025746E12</v>
      </c>
    </row>
    <row r="508">
      <c r="A508" s="103">
        <v>4.943674108961E12</v>
      </c>
    </row>
    <row r="509">
      <c r="A509" s="104">
        <v>4.582769846724E12</v>
      </c>
    </row>
    <row r="510">
      <c r="A510" s="105">
        <v>4.904810297666E12</v>
      </c>
    </row>
    <row r="511">
      <c r="A511" s="106"/>
    </row>
    <row r="512">
      <c r="A512" s="106"/>
    </row>
    <row r="513">
      <c r="A513" s="104">
        <v>4.550541641768E12</v>
      </c>
    </row>
    <row r="514">
      <c r="A514" s="105">
        <v>4.523231034393E12</v>
      </c>
    </row>
    <row r="515">
      <c r="A515" s="107" t="s">
        <v>1672</v>
      </c>
    </row>
    <row r="516">
      <c r="A516" s="107" t="s">
        <v>1673</v>
      </c>
    </row>
    <row r="517">
      <c r="A517" s="108" t="s">
        <v>1674</v>
      </c>
    </row>
    <row r="518">
      <c r="A518" s="108" t="s">
        <v>1675</v>
      </c>
    </row>
    <row r="519">
      <c r="A519" s="108" t="s">
        <v>1676</v>
      </c>
    </row>
    <row r="520">
      <c r="A520" s="104">
        <v>4.904810486527E12</v>
      </c>
    </row>
    <row r="521">
      <c r="A521" s="105">
        <v>4.904810856566E12</v>
      </c>
    </row>
    <row r="522">
      <c r="A522" s="105">
        <v>4.904810188681E12</v>
      </c>
    </row>
    <row r="523">
      <c r="A523" s="105">
        <v>4.904810228066E12</v>
      </c>
    </row>
    <row r="524">
      <c r="A524" s="105">
        <v>4.516790471099E12</v>
      </c>
    </row>
    <row r="525">
      <c r="A525" s="105">
        <v>4.904810156826E12</v>
      </c>
    </row>
    <row r="526">
      <c r="A526" s="105">
        <v>4.904810799214E12</v>
      </c>
    </row>
    <row r="527">
      <c r="A527" s="105">
        <v>4.904810228318E12</v>
      </c>
    </row>
    <row r="528">
      <c r="A528" s="105">
        <v>4.904810156666E12</v>
      </c>
    </row>
    <row r="529">
      <c r="A529" s="105">
        <v>4.904810228363E12</v>
      </c>
    </row>
    <row r="530">
      <c r="A530" s="105">
        <v>4.904810102816E12</v>
      </c>
    </row>
    <row r="531">
      <c r="A531" s="105">
        <v>4.904810188124E12</v>
      </c>
    </row>
    <row r="532">
      <c r="A532" s="105">
        <v>4.904810194057E12</v>
      </c>
    </row>
    <row r="533">
      <c r="A533" s="105">
        <v>4.904810188926E12</v>
      </c>
    </row>
    <row r="534">
      <c r="A534" s="105">
        <v>4.904810174653E12</v>
      </c>
    </row>
    <row r="535">
      <c r="A535" s="105">
        <v>4.904810228516E12</v>
      </c>
    </row>
    <row r="536">
      <c r="A536" s="105">
        <v>4.904810950646E12</v>
      </c>
    </row>
    <row r="537">
      <c r="A537" s="105">
        <v>4.904810800903E12</v>
      </c>
    </row>
    <row r="538">
      <c r="A538" s="105">
        <v>4.904810188865E12</v>
      </c>
    </row>
    <row r="539">
      <c r="A539" s="104">
        <v>8.87961870329E11</v>
      </c>
    </row>
    <row r="540">
      <c r="A540" s="104">
        <v>4.970381808143E12</v>
      </c>
    </row>
    <row r="541">
      <c r="A541" s="104">
        <v>4.58041690382E12</v>
      </c>
    </row>
    <row r="542">
      <c r="A542" s="103">
        <v>4.582660484629E12</v>
      </c>
    </row>
    <row r="543">
      <c r="A543" s="104">
        <v>4.580590202153E12</v>
      </c>
    </row>
    <row r="544">
      <c r="A544" s="106"/>
    </row>
    <row r="545">
      <c r="A545" s="104">
        <v>4.570066532839E12</v>
      </c>
    </row>
    <row r="546">
      <c r="A546" s="105">
        <v>4.904810997627E12</v>
      </c>
    </row>
    <row r="547">
      <c r="A547" s="105">
        <v>4.904810956976E12</v>
      </c>
    </row>
    <row r="548">
      <c r="A548" s="105">
        <v>4.904810913092E12</v>
      </c>
    </row>
    <row r="549">
      <c r="A549" s="105">
        <v>4.904810914471E12</v>
      </c>
    </row>
    <row r="550">
      <c r="A550" s="105">
        <v>4.904810097242E12</v>
      </c>
    </row>
    <row r="551">
      <c r="A551" s="105">
        <v>4.904810995678E12</v>
      </c>
    </row>
    <row r="552">
      <c r="A552" s="105">
        <v>4.904810990154E12</v>
      </c>
    </row>
    <row r="553">
      <c r="A553" s="105">
        <v>4.904810957492E12</v>
      </c>
    </row>
    <row r="554">
      <c r="A554" s="105">
        <v>4.904810098775E12</v>
      </c>
    </row>
    <row r="555">
      <c r="A555" s="105">
        <v>4.904810861102E12</v>
      </c>
    </row>
    <row r="556">
      <c r="A556" s="109">
        <v>4.549660863748E12</v>
      </c>
    </row>
    <row r="557">
      <c r="A557" s="104">
        <v>4.970381806712E12</v>
      </c>
    </row>
    <row r="558">
      <c r="A558" s="106"/>
    </row>
    <row r="559">
      <c r="A559" s="106"/>
    </row>
    <row r="560">
      <c r="A560" s="105">
        <v>4.904810982432E12</v>
      </c>
    </row>
    <row r="561">
      <c r="A561" s="29"/>
    </row>
    <row r="562">
      <c r="A562" s="106"/>
    </row>
    <row r="563">
      <c r="A563" s="105">
        <v>4.904810914563E12</v>
      </c>
    </row>
    <row r="564">
      <c r="A564" s="29"/>
    </row>
    <row r="565">
      <c r="A565" s="105">
        <v>4.904810226154E12</v>
      </c>
    </row>
    <row r="566">
      <c r="A566" s="105">
        <v>4.904810939535E12</v>
      </c>
    </row>
    <row r="567">
      <c r="A567" s="104">
        <v>4.904810941576E12</v>
      </c>
    </row>
    <row r="568">
      <c r="A568" s="29"/>
    </row>
    <row r="569">
      <c r="A569" s="105">
        <v>4.904810939559E12</v>
      </c>
    </row>
    <row r="570">
      <c r="A570" s="105">
        <v>4.904810103479E12</v>
      </c>
    </row>
    <row r="571">
      <c r="A571" s="105">
        <v>4.904810209843E12</v>
      </c>
    </row>
    <row r="572">
      <c r="A572" s="105">
        <v>4.904810939498E12</v>
      </c>
    </row>
    <row r="573">
      <c r="A573" s="105">
        <v>4.9048101737E12</v>
      </c>
    </row>
    <row r="574">
      <c r="A574" s="105">
        <v>4.904810914594E12</v>
      </c>
    </row>
    <row r="575">
      <c r="A575" s="105">
        <v>4.904810939597E12</v>
      </c>
    </row>
    <row r="576">
      <c r="A576" s="105">
        <v>4.904810914488E12</v>
      </c>
    </row>
    <row r="577">
      <c r="A577" s="105">
        <v>5.010996264183E12</v>
      </c>
    </row>
    <row r="578">
      <c r="A578" s="105">
        <v>4.904810157236E12</v>
      </c>
    </row>
    <row r="579">
      <c r="A579" s="106"/>
    </row>
    <row r="580">
      <c r="A580" s="106"/>
    </row>
    <row r="581">
      <c r="A581" s="103">
        <v>4.988142469717E12</v>
      </c>
    </row>
    <row r="582">
      <c r="A582" s="103">
        <v>4.530956472485E12</v>
      </c>
    </row>
    <row r="583">
      <c r="A583" s="103">
        <v>4.530956472171E12</v>
      </c>
    </row>
    <row r="584">
      <c r="A584" s="103">
        <v>4.573102673589E12</v>
      </c>
    </row>
    <row r="585">
      <c r="A585" s="103">
        <v>4.580590208346E12</v>
      </c>
    </row>
    <row r="586">
      <c r="A586" s="106"/>
    </row>
    <row r="587">
      <c r="A587" s="104">
        <v>4.582660484193E12</v>
      </c>
    </row>
    <row r="588">
      <c r="A588" s="104">
        <v>4.00377307764E12</v>
      </c>
    </row>
    <row r="589">
      <c r="A589" s="103">
        <v>4.968779103017E12</v>
      </c>
    </row>
    <row r="590">
      <c r="A590" s="104">
        <v>4.903585121213E12</v>
      </c>
    </row>
    <row r="591">
      <c r="A591" s="106"/>
    </row>
    <row r="592">
      <c r="A592" s="106"/>
    </row>
    <row r="593">
      <c r="A593" s="105">
        <v>4.97038180352E12</v>
      </c>
    </row>
    <row r="594">
      <c r="A594" s="104">
        <v>4.582783718632E12</v>
      </c>
    </row>
    <row r="595">
      <c r="A595" s="105">
        <v>4.582783719578E12</v>
      </c>
    </row>
    <row r="596">
      <c r="A596" s="110" t="s">
        <v>1677</v>
      </c>
    </row>
    <row r="597">
      <c r="A597" s="105">
        <v>4.582783717963E12</v>
      </c>
    </row>
    <row r="598">
      <c r="A598" s="105">
        <v>4.58278371797E12</v>
      </c>
    </row>
    <row r="599">
      <c r="A599" s="106"/>
    </row>
    <row r="600">
      <c r="A600" s="106"/>
    </row>
    <row r="601">
      <c r="A601" s="104">
        <v>4.582660450181E12</v>
      </c>
    </row>
    <row r="602">
      <c r="A602" s="106"/>
    </row>
    <row r="603">
      <c r="A603" s="106"/>
    </row>
    <row r="604">
      <c r="A604" s="106"/>
    </row>
    <row r="605">
      <c r="A605" s="106"/>
    </row>
    <row r="606">
      <c r="A606" s="105">
        <v>4.90358527027E12</v>
      </c>
    </row>
    <row r="607">
      <c r="A607" s="105">
        <v>4.903585108245E12</v>
      </c>
    </row>
    <row r="608">
      <c r="A608" s="105">
        <v>4.903585463245E12</v>
      </c>
    </row>
    <row r="609">
      <c r="A609" s="105">
        <v>4.903585557241E12</v>
      </c>
    </row>
    <row r="610">
      <c r="A610" s="105">
        <v>4.903585380245E12</v>
      </c>
    </row>
    <row r="611">
      <c r="A611" s="105">
        <v>4.903585168249E12</v>
      </c>
    </row>
    <row r="612">
      <c r="A612" s="105">
        <v>4.903585117216E12</v>
      </c>
    </row>
    <row r="613">
      <c r="A613" s="105">
        <v>4.903585294306E12</v>
      </c>
    </row>
    <row r="614">
      <c r="A614" s="105">
        <v>4.903585162155E12</v>
      </c>
    </row>
    <row r="615">
      <c r="A615" s="105">
        <v>4.903585390336E12</v>
      </c>
    </row>
    <row r="616">
      <c r="A616" s="105">
        <v>4.903585463276E12</v>
      </c>
    </row>
    <row r="617">
      <c r="A617" s="105">
        <v>4.903585166153E12</v>
      </c>
    </row>
    <row r="618">
      <c r="A618" s="111">
        <v>4.903585356363E12</v>
      </c>
    </row>
    <row r="619">
      <c r="A619" s="105">
        <v>4.903585450207E12</v>
      </c>
    </row>
    <row r="620">
      <c r="A620" s="105">
        <v>4.903585354369E12</v>
      </c>
    </row>
    <row r="621">
      <c r="A621" s="105">
        <v>4.903585350361E12</v>
      </c>
    </row>
    <row r="622">
      <c r="A622" s="105">
        <v>4.968779304018E12</v>
      </c>
    </row>
    <row r="623">
      <c r="A623" s="105">
        <v>4.96877920101E12</v>
      </c>
    </row>
    <row r="624">
      <c r="A624" s="105">
        <v>4.968779301017E12</v>
      </c>
    </row>
    <row r="625">
      <c r="A625" s="105">
        <v>4.968779306005E12</v>
      </c>
    </row>
    <row r="626">
      <c r="A626" s="105">
        <v>4.968779307019E12</v>
      </c>
    </row>
    <row r="627">
      <c r="A627" s="105">
        <v>4.968779307002E12</v>
      </c>
    </row>
    <row r="628">
      <c r="A628" s="105">
        <v>4.968779203007E12</v>
      </c>
    </row>
    <row r="629">
      <c r="A629" s="105">
        <v>4.968779206015E12</v>
      </c>
    </row>
    <row r="630">
      <c r="A630" s="105">
        <v>4.968779221001E12</v>
      </c>
    </row>
    <row r="631">
      <c r="A631" s="105">
        <v>4.968779101006E12</v>
      </c>
    </row>
    <row r="632">
      <c r="A632" s="105">
        <v>4.968779216007E12</v>
      </c>
    </row>
    <row r="633">
      <c r="A633" s="105">
        <v>4.968779218001E12</v>
      </c>
    </row>
    <row r="634">
      <c r="A634" s="105">
        <v>4.968779103E12</v>
      </c>
    </row>
    <row r="635">
      <c r="A635" s="105">
        <v>4.950586503012E12</v>
      </c>
    </row>
    <row r="636">
      <c r="A636" s="105">
        <v>4.961818040069E12</v>
      </c>
    </row>
    <row r="637">
      <c r="A637" s="112" t="s">
        <v>1678</v>
      </c>
    </row>
    <row r="638">
      <c r="A638" s="112" t="s">
        <v>1678</v>
      </c>
    </row>
    <row r="639">
      <c r="A639" s="105">
        <v>4.961818039032E12</v>
      </c>
    </row>
    <row r="640">
      <c r="A640" s="103">
        <v>4.988031819326E12</v>
      </c>
    </row>
    <row r="641">
      <c r="A641" s="104">
        <v>4.534530148742E12</v>
      </c>
    </row>
    <row r="642">
      <c r="A642" s="104">
        <v>4.988031762875E12</v>
      </c>
    </row>
    <row r="643">
      <c r="A643" s="104">
        <v>4.988001937449E12</v>
      </c>
    </row>
    <row r="644">
      <c r="A644" s="106"/>
    </row>
    <row r="645">
      <c r="A645" s="104">
        <v>4.988018320173E12</v>
      </c>
    </row>
    <row r="646">
      <c r="A646" s="113" t="s">
        <v>1679</v>
      </c>
    </row>
    <row r="647">
      <c r="A647" s="105">
        <v>4.934740100446E12</v>
      </c>
    </row>
    <row r="648">
      <c r="A648" s="110" t="s">
        <v>1680</v>
      </c>
    </row>
    <row r="649">
      <c r="A649" s="108" t="s">
        <v>1681</v>
      </c>
    </row>
    <row r="650">
      <c r="A650" s="105">
        <v>4.901601286281E12</v>
      </c>
    </row>
    <row r="651">
      <c r="A651" s="105">
        <v>4.901601071009E12</v>
      </c>
    </row>
    <row r="652">
      <c r="A652" s="105">
        <v>4.901601389012E12</v>
      </c>
    </row>
    <row r="653">
      <c r="A653" s="105">
        <v>4.977564729974E12</v>
      </c>
    </row>
    <row r="654">
      <c r="A654" s="105">
        <v>4.573504900061E12</v>
      </c>
    </row>
    <row r="655">
      <c r="A655" s="105">
        <v>4.580676921961E12</v>
      </c>
    </row>
    <row r="656">
      <c r="A656" s="105">
        <v>4.0098391512E12</v>
      </c>
    </row>
    <row r="657">
      <c r="A657" s="105">
        <v>4.901601413397E12</v>
      </c>
    </row>
    <row r="658">
      <c r="A658" s="105">
        <v>4.009839059742E12</v>
      </c>
    </row>
    <row r="659">
      <c r="A659" s="105">
        <v>4.595059679094E12</v>
      </c>
    </row>
    <row r="660">
      <c r="A660" s="105">
        <v>4.550309391577E12</v>
      </c>
    </row>
    <row r="661">
      <c r="A661" s="105">
        <v>4.582676195878E12</v>
      </c>
    </row>
    <row r="662">
      <c r="A662" s="105">
        <v>4.962336402292E12</v>
      </c>
    </row>
    <row r="663">
      <c r="A663" s="105">
        <v>4.90160117582E12</v>
      </c>
    </row>
    <row r="664">
      <c r="A664" s="108" t="s">
        <v>1682</v>
      </c>
    </row>
    <row r="665">
      <c r="A665" s="105">
        <v>4.903585411277E12</v>
      </c>
    </row>
    <row r="666">
      <c r="A666" s="105">
        <v>4.903585411307E12</v>
      </c>
    </row>
    <row r="667">
      <c r="A667" s="105">
        <v>4.962336403305E12</v>
      </c>
    </row>
    <row r="668">
      <c r="A668" s="105">
        <v>4.57019029487E12</v>
      </c>
    </row>
    <row r="669">
      <c r="A669" s="105">
        <v>4.901601175813E12</v>
      </c>
    </row>
    <row r="670">
      <c r="A670" s="105">
        <v>4.977564715748E12</v>
      </c>
    </row>
    <row r="671">
      <c r="A671" s="108" t="s">
        <v>1683</v>
      </c>
    </row>
    <row r="672">
      <c r="A672" s="106"/>
    </row>
    <row r="673">
      <c r="A673" s="105">
        <v>4.901601363371E12</v>
      </c>
    </row>
    <row r="674">
      <c r="A674" s="105">
        <v>4.589536478607E12</v>
      </c>
    </row>
    <row r="675">
      <c r="A675" s="105">
        <v>4.930491111502E12</v>
      </c>
    </row>
    <row r="676">
      <c r="A676" s="105">
        <v>4.97640401005E12</v>
      </c>
    </row>
    <row r="677">
      <c r="A677" s="105">
        <v>4.960579027104E12</v>
      </c>
    </row>
    <row r="678">
      <c r="A678" s="105">
        <v>4.595986899565E12</v>
      </c>
    </row>
    <row r="679">
      <c r="A679" s="105">
        <v>4.573504900092E12</v>
      </c>
    </row>
    <row r="680">
      <c r="A680" s="106"/>
    </row>
    <row r="681">
      <c r="A681" s="105">
        <v>4.901601177992E12</v>
      </c>
    </row>
    <row r="682">
      <c r="A682" s="105">
        <v>4.962336613308E12</v>
      </c>
    </row>
    <row r="683">
      <c r="A683" s="105">
        <v>3.168430338715E12</v>
      </c>
    </row>
    <row r="684">
      <c r="A684" s="108" t="s">
        <v>1684</v>
      </c>
    </row>
    <row r="685">
      <c r="A685" s="106"/>
    </row>
    <row r="686">
      <c r="A686" s="106"/>
    </row>
    <row r="687">
      <c r="A687" s="105">
        <v>6.973463100836E12</v>
      </c>
    </row>
    <row r="688">
      <c r="A688" s="105">
        <v>4.957423071895E12</v>
      </c>
    </row>
    <row r="689">
      <c r="A689" s="105">
        <v>4.905001361951E12</v>
      </c>
    </row>
    <row r="690">
      <c r="A690" s="106"/>
    </row>
    <row r="691">
      <c r="A691" s="106"/>
    </row>
    <row r="692">
      <c r="A692" s="105">
        <v>4.960579048E12</v>
      </c>
    </row>
    <row r="693">
      <c r="A693" s="105">
        <v>4.582545261529E12</v>
      </c>
    </row>
    <row r="694">
      <c r="A694" s="106"/>
    </row>
    <row r="695">
      <c r="A695" s="105">
        <v>4.904810958765E12</v>
      </c>
    </row>
    <row r="696">
      <c r="A696" s="106"/>
    </row>
    <row r="697">
      <c r="A697" s="107" t="s">
        <v>1685</v>
      </c>
    </row>
    <row r="698">
      <c r="A698" s="105">
        <v>4.988031161845E12</v>
      </c>
    </row>
    <row r="699">
      <c r="A699" s="105">
        <v>4.98803144445E12</v>
      </c>
    </row>
    <row r="700">
      <c r="A700" s="105">
        <v>4.050538014501E12</v>
      </c>
    </row>
    <row r="701">
      <c r="A701" s="105">
        <v>4.099964161076E12</v>
      </c>
    </row>
    <row r="702">
      <c r="A702" s="105">
        <v>4.943674181339E12</v>
      </c>
    </row>
    <row r="703">
      <c r="A703" s="105">
        <v>4.94367410893E12</v>
      </c>
    </row>
    <row r="704">
      <c r="A704" s="105">
        <v>4.988006554955E12</v>
      </c>
    </row>
    <row r="705">
      <c r="A705" s="105">
        <v>4.988001991373E12</v>
      </c>
    </row>
    <row r="706">
      <c r="A706" s="105">
        <v>4.988031272619E12</v>
      </c>
    </row>
    <row r="707">
      <c r="A707" s="106"/>
    </row>
    <row r="708">
      <c r="A708" s="106"/>
    </row>
    <row r="709">
      <c r="A709" s="106"/>
    </row>
    <row r="710">
      <c r="A710" s="106"/>
    </row>
    <row r="711">
      <c r="A711" s="105">
        <v>4.969402085588E12</v>
      </c>
    </row>
    <row r="712">
      <c r="A712" s="105">
        <v>4.582788570013E12</v>
      </c>
    </row>
    <row r="713">
      <c r="A713" s="105">
        <v>4.905040159588E12</v>
      </c>
    </row>
    <row r="714">
      <c r="A714" s="105">
        <v>4.905040159496E12</v>
      </c>
    </row>
    <row r="715">
      <c r="A715" s="106"/>
    </row>
    <row r="716">
      <c r="A716" s="105">
        <v>4.969402001052E12</v>
      </c>
    </row>
    <row r="717">
      <c r="A717" s="105">
        <v>4.969402001069E12</v>
      </c>
    </row>
    <row r="718">
      <c r="A718" s="105">
        <v>4.969402001045E12</v>
      </c>
    </row>
    <row r="719">
      <c r="A719" s="105">
        <v>4.969402043311E12</v>
      </c>
    </row>
    <row r="720">
      <c r="A720" s="105">
        <v>4.969402043731E12</v>
      </c>
    </row>
    <row r="721">
      <c r="A721" s="105">
        <v>4.969402043724E12</v>
      </c>
    </row>
    <row r="722">
      <c r="A722" s="105">
        <v>4.969402043717E12</v>
      </c>
    </row>
    <row r="723">
      <c r="A723" s="105">
        <v>4.969402043793E12</v>
      </c>
    </row>
    <row r="724">
      <c r="A724" s="105">
        <v>4.969402043779E12</v>
      </c>
    </row>
    <row r="725">
      <c r="A725" s="105">
        <v>4.969402043687E12</v>
      </c>
    </row>
    <row r="726">
      <c r="A726" s="106"/>
    </row>
    <row r="727">
      <c r="A727" s="106"/>
    </row>
    <row r="728">
      <c r="A728" s="105">
        <v>4.905040260703E12</v>
      </c>
    </row>
    <row r="729">
      <c r="A729" s="105">
        <v>4.969402414326E12</v>
      </c>
    </row>
    <row r="730">
      <c r="A730" s="106"/>
    </row>
    <row r="731">
      <c r="A731" s="105">
        <v>4.969402419222E12</v>
      </c>
    </row>
    <row r="732">
      <c r="A732" s="105">
        <v>4.901881541216E12</v>
      </c>
    </row>
    <row r="733">
      <c r="A733" s="105">
        <v>4.90250638315E12</v>
      </c>
    </row>
    <row r="734">
      <c r="A734" s="105">
        <v>4.902778261439E12</v>
      </c>
    </row>
    <row r="735">
      <c r="A735" s="105">
        <v>4.550624768214E12</v>
      </c>
    </row>
    <row r="736">
      <c r="A736" s="105">
        <v>4.548351147051E12</v>
      </c>
    </row>
    <row r="737">
      <c r="A737" s="105">
        <v>4.902778258781E12</v>
      </c>
    </row>
    <row r="738">
      <c r="A738" s="105">
        <v>4.902778270837E12</v>
      </c>
    </row>
    <row r="739">
      <c r="A739" s="29"/>
    </row>
    <row r="740">
      <c r="A740" s="106"/>
    </row>
    <row r="741">
      <c r="A741" s="105">
        <v>2.147345073325E12</v>
      </c>
    </row>
    <row r="742">
      <c r="A742" s="29"/>
    </row>
    <row r="743">
      <c r="A743" s="105">
        <v>4.902778258774E12</v>
      </c>
    </row>
    <row r="744">
      <c r="A744" s="105">
        <v>4.902778258767E12</v>
      </c>
    </row>
    <row r="745">
      <c r="A745" s="105">
        <v>4.902778258811E12</v>
      </c>
    </row>
    <row r="746">
      <c r="A746" s="105">
        <v>4.902778279717E12</v>
      </c>
    </row>
    <row r="747">
      <c r="A747" s="105">
        <v>4.902778245729E12</v>
      </c>
    </row>
    <row r="748">
      <c r="A748" s="105">
        <v>4.902778214534E12</v>
      </c>
    </row>
    <row r="749">
      <c r="A749" s="107" t="s">
        <v>1686</v>
      </c>
    </row>
    <row r="750">
      <c r="A750" s="105">
        <v>4.902778272879E12</v>
      </c>
    </row>
    <row r="751">
      <c r="A751" s="105">
        <v>4.90277819849E12</v>
      </c>
    </row>
    <row r="752">
      <c r="A752" s="105">
        <v>4.902778164013E12</v>
      </c>
    </row>
    <row r="753">
      <c r="A753" s="106"/>
    </row>
    <row r="754">
      <c r="A754" s="105">
        <v>4.571397652272E12</v>
      </c>
    </row>
    <row r="755">
      <c r="A755" s="105">
        <v>4.902778270868E12</v>
      </c>
    </row>
    <row r="756">
      <c r="A756" s="105">
        <v>4.969402043519E12</v>
      </c>
    </row>
    <row r="757">
      <c r="A757" s="114">
        <v>4.90277890112E12</v>
      </c>
    </row>
    <row r="758">
      <c r="A758" s="105">
        <v>8.431269671625E12</v>
      </c>
    </row>
    <row r="759">
      <c r="A759" s="105">
        <v>9.313440042891E12</v>
      </c>
    </row>
    <row r="760">
      <c r="A760" s="106"/>
    </row>
    <row r="761">
      <c r="A761" s="105">
        <v>4.580639451474E12</v>
      </c>
    </row>
    <row r="762">
      <c r="A762" s="105">
        <v>4.562374253728E12</v>
      </c>
    </row>
    <row r="763">
      <c r="A763" s="105">
        <v>4.562374251533E12</v>
      </c>
    </row>
    <row r="764">
      <c r="A764" s="106"/>
    </row>
    <row r="765">
      <c r="A765" s="105">
        <v>4.550376036432E12</v>
      </c>
    </row>
    <row r="766">
      <c r="A766" s="105">
        <v>4.550665142639E12</v>
      </c>
    </row>
    <row r="767">
      <c r="A767" s="105">
        <v>4.550538997854E12</v>
      </c>
    </row>
    <row r="768">
      <c r="A768" s="105">
        <v>4.560375370178E12</v>
      </c>
    </row>
    <row r="769">
      <c r="A769" s="105">
        <v>4.562374253001E12</v>
      </c>
    </row>
    <row r="770">
      <c r="A770" s="105">
        <v>4.562374251861E12</v>
      </c>
    </row>
    <row r="771">
      <c r="A771" s="107" t="s">
        <v>1687</v>
      </c>
    </row>
    <row r="772">
      <c r="A772" s="106"/>
    </row>
    <row r="773">
      <c r="A773" s="105">
        <v>4.550233045768E12</v>
      </c>
    </row>
    <row r="774">
      <c r="A774" s="106"/>
    </row>
    <row r="775">
      <c r="A775" s="106"/>
    </row>
    <row r="776">
      <c r="A776" s="106"/>
    </row>
    <row r="777">
      <c r="A777" s="105">
        <v>4.582660464386E12</v>
      </c>
    </row>
    <row r="778">
      <c r="A778" s="105">
        <v>4.902778198407E12</v>
      </c>
    </row>
    <row r="779">
      <c r="A779" s="111">
        <v>4.970381810405E12</v>
      </c>
    </row>
    <row r="780">
      <c r="A780" s="105">
        <v>4.984824728967E12</v>
      </c>
    </row>
    <row r="781">
      <c r="A781" s="110" t="s">
        <v>1688</v>
      </c>
    </row>
    <row r="782">
      <c r="A782" s="106"/>
    </row>
    <row r="783">
      <c r="A783" s="105">
        <v>4.90997822479E12</v>
      </c>
    </row>
    <row r="784">
      <c r="A784" s="29"/>
    </row>
    <row r="785">
      <c r="A785" s="105">
        <v>4.909978985349E12</v>
      </c>
    </row>
    <row r="786">
      <c r="A786" s="106"/>
    </row>
    <row r="787">
      <c r="A787" s="106"/>
    </row>
    <row r="788">
      <c r="A788" s="106"/>
    </row>
    <row r="789">
      <c r="A789" s="106"/>
    </row>
    <row r="790">
      <c r="A790" s="105">
        <v>4.571397652487E12</v>
      </c>
    </row>
    <row r="791">
      <c r="A791" s="105">
        <v>4.571397652135E12</v>
      </c>
    </row>
    <row r="792">
      <c r="A792" s="115">
        <v>4.988031819357E12</v>
      </c>
    </row>
    <row r="793">
      <c r="A793" s="115">
        <v>4.582352382516E12</v>
      </c>
    </row>
    <row r="794">
      <c r="A794" s="115">
        <v>4.525853001272E12</v>
      </c>
    </row>
    <row r="795">
      <c r="A795" s="105">
        <v>9.784779652974E12</v>
      </c>
    </row>
    <row r="796">
      <c r="A796" s="105">
        <v>4.573630239653E12</v>
      </c>
    </row>
    <row r="797">
      <c r="A797" s="105">
        <v>4.573630239462E12</v>
      </c>
    </row>
    <row r="798">
      <c r="A798" s="105">
        <v>4.573630239479E12</v>
      </c>
    </row>
    <row r="799">
      <c r="A799" s="106"/>
    </row>
    <row r="800">
      <c r="A800" s="106"/>
    </row>
    <row r="801">
      <c r="A801" s="106"/>
    </row>
    <row r="802">
      <c r="A802" s="106"/>
    </row>
    <row r="803">
      <c r="A803" s="106"/>
    </row>
    <row r="804">
      <c r="A804" s="106"/>
    </row>
    <row r="805">
      <c r="A805" s="106"/>
    </row>
    <row r="806">
      <c r="A806" s="105">
        <v>4.527516024628E12</v>
      </c>
    </row>
    <row r="807">
      <c r="A807" s="106"/>
    </row>
    <row r="808">
      <c r="A808" s="106"/>
    </row>
    <row r="809">
      <c r="A809" s="106"/>
    </row>
    <row r="810">
      <c r="A810" s="106"/>
    </row>
    <row r="811">
      <c r="A811" s="106"/>
    </row>
    <row r="812">
      <c r="A812" s="106"/>
    </row>
    <row r="813">
      <c r="A813" s="106"/>
    </row>
    <row r="814">
      <c r="A814" s="106"/>
    </row>
    <row r="815">
      <c r="A815" s="105">
        <v>7.682940259781E12</v>
      </c>
    </row>
    <row r="816">
      <c r="A816" s="105">
        <v>4.547366452785E12</v>
      </c>
    </row>
    <row r="817">
      <c r="A817" s="106"/>
    </row>
    <row r="818">
      <c r="A818" s="106"/>
    </row>
    <row r="819">
      <c r="A819" s="116">
        <v>9.784057508016E12</v>
      </c>
    </row>
    <row r="820">
      <c r="A820" s="105">
        <v>4.905426708317E12</v>
      </c>
    </row>
    <row r="821">
      <c r="A821" s="105">
        <v>9.784057507965E12</v>
      </c>
    </row>
    <row r="822">
      <c r="A822" s="116">
        <v>9.784757592766E12</v>
      </c>
    </row>
    <row r="823">
      <c r="A823" s="116">
        <v>9.784757567818E12</v>
      </c>
    </row>
    <row r="824">
      <c r="A824" s="116">
        <v>4.988064236763E12</v>
      </c>
    </row>
    <row r="825">
      <c r="A825" s="116">
        <v>4.582671751482E12</v>
      </c>
    </row>
    <row r="826">
      <c r="A826" s="116">
        <v>4.582671757897E12</v>
      </c>
    </row>
    <row r="827">
      <c r="A827" s="105">
        <v>4.943674416387E12</v>
      </c>
    </row>
    <row r="828">
      <c r="A828" s="105">
        <v>4.90358510324E12</v>
      </c>
    </row>
    <row r="829">
      <c r="A829" s="116">
        <v>4.988064236732E12</v>
      </c>
    </row>
    <row r="830">
      <c r="A830" s="106"/>
    </row>
    <row r="831">
      <c r="A831" s="116">
        <v>4.903585340188E12</v>
      </c>
    </row>
    <row r="832">
      <c r="A832" s="105">
        <v>4.903585338178E12</v>
      </c>
    </row>
    <row r="833">
      <c r="A833" s="105">
        <v>4.903585339175E12</v>
      </c>
    </row>
    <row r="834">
      <c r="A834" s="116">
        <v>4.582769793813E12</v>
      </c>
    </row>
    <row r="835">
      <c r="A835" s="116">
        <v>4.961310164232E12</v>
      </c>
    </row>
    <row r="836">
      <c r="A836" s="105">
        <v>4.548736062146E12</v>
      </c>
    </row>
    <row r="837">
      <c r="A837" s="105">
        <v>4.903585337171E12</v>
      </c>
    </row>
    <row r="838">
      <c r="A838" s="105">
        <v>4.903585471172E12</v>
      </c>
    </row>
    <row r="839">
      <c r="A839" s="111">
        <v>4.903585336174E12</v>
      </c>
    </row>
    <row r="840">
      <c r="A840" s="105">
        <v>4.903585342182E12</v>
      </c>
    </row>
    <row r="841">
      <c r="A841" s="105">
        <v>4.90358534618E12</v>
      </c>
    </row>
    <row r="842">
      <c r="A842" s="105">
        <v>4.984824728981E12</v>
      </c>
    </row>
    <row r="843">
      <c r="A843" s="105">
        <v>5.025232511198E12</v>
      </c>
    </row>
    <row r="844">
      <c r="A844" s="105">
        <v>4.975769330247E12</v>
      </c>
    </row>
    <row r="845">
      <c r="A845" s="105">
        <v>4.902580798321E12</v>
      </c>
    </row>
    <row r="846">
      <c r="A846" s="105">
        <v>4.902580798338E12</v>
      </c>
    </row>
    <row r="847">
      <c r="A847" s="29"/>
    </row>
    <row r="848">
      <c r="A848" s="116">
        <v>9.784087900255E12</v>
      </c>
    </row>
    <row r="849">
      <c r="A849" s="106"/>
    </row>
    <row r="850">
      <c r="A850" s="111">
        <v>4.991863509204E12</v>
      </c>
    </row>
    <row r="851">
      <c r="A851" s="106"/>
    </row>
    <row r="852">
      <c r="A852" s="105">
        <v>9.784331520901E12</v>
      </c>
    </row>
    <row r="853">
      <c r="A853" s="105">
        <v>4.901111715424E12</v>
      </c>
    </row>
    <row r="854">
      <c r="A854" s="106"/>
    </row>
    <row r="855">
      <c r="A855" s="105">
        <v>4.580351693558E12</v>
      </c>
    </row>
    <row r="856">
      <c r="A856" s="105">
        <v>9.784047333451E12</v>
      </c>
    </row>
    <row r="857">
      <c r="A857" s="105">
        <v>9.784065106464E12</v>
      </c>
    </row>
    <row r="858">
      <c r="A858" s="105">
        <v>4.985849127483E12</v>
      </c>
    </row>
    <row r="859">
      <c r="A859" s="106"/>
    </row>
    <row r="860">
      <c r="A860" s="106"/>
    </row>
    <row r="861">
      <c r="A861" s="106"/>
    </row>
    <row r="862">
      <c r="A862" s="106"/>
    </row>
    <row r="863">
      <c r="A863" s="105">
        <v>4.562412132046E12</v>
      </c>
    </row>
    <row r="864">
      <c r="A864" s="106"/>
    </row>
    <row r="865">
      <c r="A865" s="106"/>
    </row>
    <row r="866">
      <c r="A866" s="106"/>
    </row>
    <row r="867">
      <c r="A867" s="103">
        <v>4.547366687347E12</v>
      </c>
    </row>
    <row r="868">
      <c r="A868" s="105">
        <v>4.988102941E12</v>
      </c>
    </row>
    <row r="869">
      <c r="A869" s="103">
        <v>4.988031681343E12</v>
      </c>
    </row>
    <row r="870">
      <c r="A870" s="105">
        <v>4.57137491188E12</v>
      </c>
    </row>
    <row r="871">
      <c r="A871" s="105">
        <v>4.988001993117E12</v>
      </c>
    </row>
    <row r="872">
      <c r="A872" s="105">
        <v>4.571164385006E12</v>
      </c>
    </row>
    <row r="873">
      <c r="A873" s="103">
        <v>4.907953094192E12</v>
      </c>
    </row>
    <row r="874">
      <c r="A874" s="103">
        <v>4.511820125355E12</v>
      </c>
    </row>
    <row r="875">
      <c r="A875" s="103">
        <v>4.562256124207E12</v>
      </c>
    </row>
    <row r="876">
      <c r="A876" s="111">
        <v>4.970381810405E12</v>
      </c>
    </row>
    <row r="877">
      <c r="A877" s="105">
        <v>4.991863509211E12</v>
      </c>
    </row>
    <row r="878">
      <c r="A878" s="105">
        <v>4.977389115662E12</v>
      </c>
    </row>
    <row r="879">
      <c r="A879" s="103">
        <v>4.547366772531E12</v>
      </c>
    </row>
    <row r="880">
      <c r="A880" s="105">
        <v>4.969402043823E12</v>
      </c>
    </row>
    <row r="881">
      <c r="A881" s="106"/>
    </row>
    <row r="882">
      <c r="A882" s="105">
        <v>4.907052701502E12</v>
      </c>
    </row>
    <row r="883">
      <c r="A883" s="111">
        <v>4.907052701533E12</v>
      </c>
    </row>
    <row r="884">
      <c r="A884" s="105">
        <v>4.975846902404E12</v>
      </c>
    </row>
    <row r="885">
      <c r="A885" s="105">
        <v>4.975846902411E12</v>
      </c>
    </row>
    <row r="886">
      <c r="A886" s="105">
        <v>4.969402418041E12</v>
      </c>
    </row>
    <row r="887">
      <c r="A887" s="110" t="s">
        <v>1689</v>
      </c>
    </row>
    <row r="888">
      <c r="A888" s="105">
        <v>4.907052115071E12</v>
      </c>
    </row>
    <row r="889">
      <c r="A889" s="105">
        <v>4.907052115217E12</v>
      </c>
    </row>
    <row r="890">
      <c r="A890" s="105">
        <v>4.550538997878E12</v>
      </c>
    </row>
    <row r="891">
      <c r="A891" s="106"/>
    </row>
    <row r="892">
      <c r="A892" s="105">
        <v>4.975846902466E12</v>
      </c>
    </row>
    <row r="893">
      <c r="A893" s="29"/>
    </row>
    <row r="894">
      <c r="A894" s="117" t="s">
        <v>1690</v>
      </c>
    </row>
    <row r="895">
      <c r="A895" s="106"/>
    </row>
    <row r="896">
      <c r="A896" s="106" t="s">
        <v>1691</v>
      </c>
    </row>
    <row r="897">
      <c r="A897" s="116">
        <v>9.784099432201E12</v>
      </c>
    </row>
    <row r="898">
      <c r="A898" s="106"/>
    </row>
    <row r="899">
      <c r="A899" s="105">
        <v>9.331813720719E12</v>
      </c>
    </row>
    <row r="900">
      <c r="A900" s="106"/>
    </row>
    <row r="901">
      <c r="A901" s="105">
        <v>4.550376036463E12</v>
      </c>
    </row>
    <row r="902">
      <c r="A902" s="105">
        <v>4.975846902473E12</v>
      </c>
    </row>
    <row r="903">
      <c r="A903" s="105">
        <v>4.550376036425E12</v>
      </c>
    </row>
    <row r="904">
      <c r="A904" s="105">
        <v>4.977292109277E12</v>
      </c>
    </row>
    <row r="905">
      <c r="A905" s="105">
        <v>5.410462376943E12</v>
      </c>
    </row>
    <row r="906">
      <c r="A906" s="105">
        <v>4.970381525156E12</v>
      </c>
    </row>
    <row r="907">
      <c r="A907" s="105">
        <v>4.570118005755E12</v>
      </c>
    </row>
    <row r="908">
      <c r="A908" s="110" t="s">
        <v>1692</v>
      </c>
    </row>
    <row r="909">
      <c r="A909" s="105">
        <v>4.975364015754E12</v>
      </c>
    </row>
    <row r="910">
      <c r="A910" s="106"/>
    </row>
    <row r="911">
      <c r="A911" s="105">
        <v>4.975364018175E12</v>
      </c>
    </row>
    <row r="912">
      <c r="A912" s="105">
        <v>4.975364018168E12</v>
      </c>
    </row>
    <row r="913">
      <c r="A913" s="105">
        <v>4.969402049542E12</v>
      </c>
    </row>
    <row r="914">
      <c r="A914" s="105">
        <v>4.969402049528E12</v>
      </c>
    </row>
    <row r="915">
      <c r="A915" s="105">
        <v>4.907052115484E12</v>
      </c>
    </row>
    <row r="916">
      <c r="A916" s="105">
        <v>4.907052115491E12</v>
      </c>
    </row>
    <row r="917">
      <c r="A917" s="105">
        <v>4.963041184015E12</v>
      </c>
    </row>
    <row r="918">
      <c r="A918" s="103">
        <v>4.943674435869E12</v>
      </c>
    </row>
    <row r="919">
      <c r="A919" s="103">
        <v>4.547366772548E12</v>
      </c>
    </row>
    <row r="920">
      <c r="A920" s="103">
        <v>4.988031833032E12</v>
      </c>
    </row>
    <row r="921">
      <c r="A921" s="103">
        <v>4.58254659774E12</v>
      </c>
    </row>
    <row r="922">
      <c r="A922" s="103">
        <v>4.988031822234E12</v>
      </c>
    </row>
    <row r="923">
      <c r="A923" s="104">
        <v>4.988031827741E12</v>
      </c>
    </row>
    <row r="924">
      <c r="A924" s="103">
        <v>4.943674435425E12</v>
      </c>
    </row>
    <row r="925">
      <c r="A925" s="103">
        <v>4.988021846394E12</v>
      </c>
    </row>
    <row r="926">
      <c r="A926" s="103">
        <v>4.542696000354E12</v>
      </c>
    </row>
    <row r="927">
      <c r="A927" s="103">
        <v>4.542696000064E12</v>
      </c>
    </row>
    <row r="928">
      <c r="A928" s="103">
        <v>4.571164381756E12</v>
      </c>
    </row>
    <row r="929">
      <c r="A929" s="105">
        <v>4.954628231741E12</v>
      </c>
    </row>
    <row r="930">
      <c r="A930" s="105">
        <v>4.97729210939E12</v>
      </c>
    </row>
    <row r="931">
      <c r="A931" s="105">
        <v>7.426956244214E12</v>
      </c>
    </row>
    <row r="932">
      <c r="A932" s="116">
        <v>4.954628400833E12</v>
      </c>
    </row>
    <row r="933">
      <c r="A933" s="118" t="s">
        <v>1693</v>
      </c>
    </row>
    <row r="934">
      <c r="A934" s="111">
        <v>4.903585504368E12</v>
      </c>
    </row>
    <row r="935">
      <c r="A935" s="105">
        <v>4.903585141181E12</v>
      </c>
    </row>
    <row r="936">
      <c r="A936" s="105">
        <v>4.903585142188E12</v>
      </c>
    </row>
    <row r="937">
      <c r="A937" s="105">
        <v>4.903585144182E12</v>
      </c>
    </row>
    <row r="938">
      <c r="A938" s="105">
        <v>4.903585143185E12</v>
      </c>
    </row>
    <row r="939">
      <c r="A939" s="105">
        <v>4.907052114999E12</v>
      </c>
    </row>
    <row r="940">
      <c r="A940" s="105">
        <v>4.90705211517E12</v>
      </c>
    </row>
    <row r="941">
      <c r="A941" s="106"/>
    </row>
    <row r="942">
      <c r="A942" s="106"/>
    </row>
    <row r="943">
      <c r="A943" s="106"/>
    </row>
    <row r="944">
      <c r="A944" s="116">
        <v>8.8381728355E10</v>
      </c>
    </row>
    <row r="945">
      <c r="A945" s="103">
        <v>4.547366778793E12</v>
      </c>
    </row>
    <row r="946">
      <c r="A946" s="106"/>
    </row>
    <row r="947">
      <c r="A947" s="106"/>
    </row>
    <row r="948">
      <c r="A948" s="106"/>
    </row>
    <row r="949">
      <c r="A949" s="106"/>
    </row>
    <row r="950">
      <c r="A950" s="105">
        <v>4.943674395903E12</v>
      </c>
    </row>
    <row r="951">
      <c r="A951" s="106"/>
    </row>
    <row r="952">
      <c r="A952" s="103">
        <v>4.527516608316E12</v>
      </c>
    </row>
    <row r="953">
      <c r="A953" s="106"/>
    </row>
    <row r="954">
      <c r="A954" s="103">
        <v>4.582239509869E12</v>
      </c>
    </row>
    <row r="955">
      <c r="A955" s="103">
        <v>4.988031820186E12</v>
      </c>
    </row>
    <row r="956">
      <c r="A956" s="103">
        <v>4.534530076946E12</v>
      </c>
    </row>
    <row r="957">
      <c r="A957" s="104">
        <v>4.547366712988E12</v>
      </c>
    </row>
    <row r="958">
      <c r="A958" s="105">
        <v>4.988005628343E12</v>
      </c>
    </row>
    <row r="959">
      <c r="A959" s="105">
        <v>4.988104054647E12</v>
      </c>
    </row>
    <row r="960">
      <c r="A960" s="105">
        <v>4.907052701489E12</v>
      </c>
    </row>
    <row r="961">
      <c r="A961" s="119">
        <v>4.907052701533E12</v>
      </c>
    </row>
    <row r="962">
      <c r="A962" s="116">
        <v>4.907052701526E12</v>
      </c>
    </row>
    <row r="963">
      <c r="A963" s="119">
        <v>4.903585336174E12</v>
      </c>
    </row>
    <row r="964">
      <c r="A964" s="116">
        <v>4.903585355366E12</v>
      </c>
    </row>
    <row r="965">
      <c r="A965" s="116">
        <v>4.903585295303E12</v>
      </c>
    </row>
    <row r="966">
      <c r="A966" s="116">
        <v>4.903585271277E12</v>
      </c>
    </row>
    <row r="967">
      <c r="A967" s="119">
        <v>4.903585504368E12</v>
      </c>
    </row>
    <row r="968">
      <c r="A968" s="119">
        <v>4.903585356363E12</v>
      </c>
    </row>
    <row r="969">
      <c r="A969" s="119">
        <v>4.991863509204E12</v>
      </c>
    </row>
    <row r="970">
      <c r="A970" s="116">
        <v>4.907052115002E12</v>
      </c>
    </row>
    <row r="971">
      <c r="A971" s="116">
        <v>9.784088847405E12</v>
      </c>
    </row>
    <row r="972">
      <c r="A972" s="120">
        <v>4.903585270249E12</v>
      </c>
    </row>
    <row r="973">
      <c r="A973" s="121">
        <v>4.907052728301E12</v>
      </c>
    </row>
    <row r="974">
      <c r="A974" s="121">
        <v>4.96940204945E12</v>
      </c>
    </row>
    <row r="975">
      <c r="A975" s="121">
        <v>4.969402049443E12</v>
      </c>
    </row>
    <row r="976">
      <c r="A976" s="121">
        <v>4.969402043816E12</v>
      </c>
    </row>
    <row r="977">
      <c r="A977" s="121">
        <v>4.975846709461E12</v>
      </c>
    </row>
    <row r="978">
      <c r="A978" s="106"/>
    </row>
    <row r="979">
      <c r="A979" s="116">
        <v>4.573630238373E12</v>
      </c>
    </row>
    <row r="980">
      <c r="A980" s="116">
        <v>4.970381616915E12</v>
      </c>
    </row>
    <row r="981">
      <c r="A981" s="106" t="s">
        <v>1694</v>
      </c>
    </row>
    <row r="982">
      <c r="A982" s="116">
        <v>4.970381616939E12</v>
      </c>
    </row>
    <row r="983">
      <c r="A983" s="106" t="s">
        <v>1695</v>
      </c>
    </row>
    <row r="984">
      <c r="A984" s="106" t="s">
        <v>1696</v>
      </c>
    </row>
    <row r="985">
      <c r="A985" s="106" t="s">
        <v>1697</v>
      </c>
    </row>
    <row r="986">
      <c r="A986" s="121">
        <v>4.547366631975E12</v>
      </c>
    </row>
    <row r="987">
      <c r="A987" s="105">
        <v>4.988005830067E12</v>
      </c>
    </row>
    <row r="988">
      <c r="A988" s="103">
        <v>4.943674745029E12</v>
      </c>
    </row>
    <row r="989">
      <c r="A989" s="103">
        <v>4.988064585618E12</v>
      </c>
    </row>
    <row r="990">
      <c r="A990" s="106"/>
    </row>
    <row r="991">
      <c r="A991" s="103">
        <v>4.988006234E12</v>
      </c>
    </row>
    <row r="992">
      <c r="A992" s="122">
        <v>4.547366197693E12</v>
      </c>
    </row>
    <row r="993">
      <c r="A993" s="116">
        <v>4.515968340021E12</v>
      </c>
    </row>
    <row r="994">
      <c r="A994" s="116">
        <v>4.515968339841E12</v>
      </c>
    </row>
    <row r="995">
      <c r="A995" s="116">
        <v>4.515968340199E12</v>
      </c>
    </row>
    <row r="996">
      <c r="A996" s="116">
        <v>9.784594623937E12</v>
      </c>
    </row>
    <row r="997">
      <c r="A997" s="116">
        <v>4.539529444119E12</v>
      </c>
    </row>
    <row r="998">
      <c r="A998" s="116">
        <v>4.580808279991E12</v>
      </c>
    </row>
    <row r="999">
      <c r="A999" s="116">
        <v>4.580808273463E12</v>
      </c>
    </row>
    <row r="1000">
      <c r="A1000" s="116">
        <v>6.98035116386E11</v>
      </c>
    </row>
    <row r="1001">
      <c r="A1001" s="121">
        <v>4.907052115279E12</v>
      </c>
    </row>
    <row r="1002">
      <c r="A1002" s="121">
        <v>4.907052115286E12</v>
      </c>
    </row>
    <row r="1003">
      <c r="A1003" s="121">
        <v>4.98136113109E12</v>
      </c>
    </row>
    <row r="1004">
      <c r="A1004" s="106" t="s">
        <v>1698</v>
      </c>
    </row>
    <row r="1005">
      <c r="A1005" s="121">
        <v>4.907052115163E12</v>
      </c>
    </row>
    <row r="1006">
      <c r="A1006" s="105">
        <v>4.937897013416E12</v>
      </c>
    </row>
    <row r="1007">
      <c r="A1007" s="121">
        <v>4.931025005922E12</v>
      </c>
    </row>
    <row r="1008">
      <c r="A1008" s="105">
        <v>4.931025005472E12</v>
      </c>
    </row>
    <row r="1009">
      <c r="A1009" s="105">
        <v>4.977292109307E12</v>
      </c>
    </row>
    <row r="1010">
      <c r="A1010" s="105">
        <v>4.907052114975E12</v>
      </c>
    </row>
    <row r="1011">
      <c r="A1011" s="105">
        <v>4.907052114982E12</v>
      </c>
    </row>
    <row r="1012">
      <c r="A1012" s="105">
        <v>4.989083684184E12</v>
      </c>
    </row>
    <row r="1013">
      <c r="A1013" s="105">
        <v>4.97729210926E12</v>
      </c>
    </row>
    <row r="1014">
      <c r="A1014" s="105">
        <v>4.907052718586E12</v>
      </c>
    </row>
    <row r="1015">
      <c r="A1015" s="105">
        <v>4.975364015891E12</v>
      </c>
    </row>
    <row r="1016">
      <c r="A1016" s="105">
        <v>4.963041184138E12</v>
      </c>
    </row>
    <row r="1017">
      <c r="A1017" s="105">
        <v>4.969402110082E12</v>
      </c>
    </row>
    <row r="1018">
      <c r="A1018" s="105">
        <v>4.977292108874E12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/>
      <c r="B1" s="123" t="s">
        <v>1699</v>
      </c>
    </row>
    <row r="2">
      <c r="A2" s="123">
        <v>0.1</v>
      </c>
      <c r="B2" s="123">
        <v>880.0</v>
      </c>
    </row>
    <row r="3">
      <c r="A3" s="123">
        <v>0.2</v>
      </c>
      <c r="B3" s="123">
        <v>1060.0</v>
      </c>
    </row>
    <row r="4">
      <c r="A4" s="123">
        <v>0.3</v>
      </c>
      <c r="B4" s="123">
        <v>1240.0</v>
      </c>
    </row>
    <row r="5">
      <c r="A5" s="123">
        <v>0.4</v>
      </c>
      <c r="B5" s="123">
        <v>1420.0</v>
      </c>
    </row>
    <row r="6">
      <c r="A6" s="123">
        <v>0.5</v>
      </c>
      <c r="B6" s="123">
        <v>1600.0</v>
      </c>
    </row>
    <row r="7">
      <c r="A7" s="123">
        <v>0.6</v>
      </c>
      <c r="B7" s="123">
        <v>1780.0</v>
      </c>
    </row>
    <row r="8">
      <c r="A8" s="123">
        <v>0.7</v>
      </c>
      <c r="B8" s="123">
        <v>1960.0</v>
      </c>
    </row>
    <row r="9">
      <c r="A9" s="123">
        <v>0.8</v>
      </c>
      <c r="B9" s="123">
        <v>2140.0</v>
      </c>
    </row>
    <row r="10">
      <c r="A10" s="123">
        <v>0.9</v>
      </c>
      <c r="B10" s="123">
        <v>2320.0</v>
      </c>
    </row>
    <row r="11">
      <c r="A11" s="123">
        <v>1.0</v>
      </c>
      <c r="B11" s="123">
        <v>2500.0</v>
      </c>
    </row>
    <row r="12">
      <c r="A12" s="123">
        <v>1.1</v>
      </c>
      <c r="B12" s="123">
        <v>2680.0</v>
      </c>
    </row>
    <row r="13">
      <c r="A13" s="123">
        <v>1.2</v>
      </c>
      <c r="B13" s="123">
        <v>2860.0</v>
      </c>
    </row>
    <row r="14">
      <c r="A14" s="123">
        <v>1.3</v>
      </c>
      <c r="B14" s="123">
        <v>3040.0</v>
      </c>
    </row>
    <row r="15">
      <c r="A15" s="123">
        <v>1.4</v>
      </c>
      <c r="B15" s="123">
        <v>3220.0</v>
      </c>
    </row>
    <row r="16">
      <c r="A16" s="123">
        <v>1.5</v>
      </c>
      <c r="B16" s="123">
        <v>3400.0</v>
      </c>
    </row>
    <row r="17">
      <c r="A17" s="123">
        <v>1.6</v>
      </c>
      <c r="B17" s="123">
        <v>3580.0</v>
      </c>
    </row>
    <row r="18">
      <c r="A18" s="123">
        <v>1.7</v>
      </c>
      <c r="B18" s="123">
        <v>3760.0</v>
      </c>
    </row>
    <row r="19">
      <c r="A19" s="123">
        <v>1.8</v>
      </c>
      <c r="B19" s="123">
        <v>3940.0</v>
      </c>
    </row>
    <row r="20">
      <c r="A20" s="123">
        <v>1.9</v>
      </c>
      <c r="B20" s="123">
        <v>4120.0</v>
      </c>
    </row>
    <row r="21">
      <c r="A21" s="123">
        <v>2.0</v>
      </c>
      <c r="B21" s="123">
        <v>4300.0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1700</v>
      </c>
      <c r="B1" s="124" t="s">
        <v>1701</v>
      </c>
    </row>
    <row r="2">
      <c r="A2" s="124">
        <v>0.1</v>
      </c>
      <c r="B2" s="125">
        <v>1227.0</v>
      </c>
    </row>
    <row r="3">
      <c r="A3" s="124">
        <v>0.2</v>
      </c>
      <c r="B3" s="125">
        <v>1367.0</v>
      </c>
    </row>
    <row r="4">
      <c r="A4" s="124">
        <v>0.3</v>
      </c>
      <c r="B4" s="125">
        <v>1581.0</v>
      </c>
    </row>
    <row r="5">
      <c r="A5" s="124">
        <v>0.4</v>
      </c>
      <c r="B5" s="125">
        <v>1778.0</v>
      </c>
    </row>
    <row r="6">
      <c r="A6" s="124">
        <v>0.5</v>
      </c>
      <c r="B6" s="125">
        <v>2060.0</v>
      </c>
    </row>
    <row r="7">
      <c r="A7" s="124">
        <v>0.6</v>
      </c>
      <c r="B7" s="125">
        <v>2222.0</v>
      </c>
    </row>
    <row r="8">
      <c r="A8" s="124">
        <v>0.7</v>
      </c>
      <c r="B8" s="125">
        <v>2321.0</v>
      </c>
    </row>
    <row r="9">
      <c r="A9" s="124">
        <v>0.8</v>
      </c>
      <c r="B9" s="125">
        <v>2703.0</v>
      </c>
    </row>
    <row r="10">
      <c r="A10" s="124">
        <v>0.9</v>
      </c>
      <c r="B10" s="125">
        <v>2820.0</v>
      </c>
    </row>
    <row r="11">
      <c r="A11" s="124">
        <v>1.0</v>
      </c>
      <c r="B11" s="125">
        <v>3020.0</v>
      </c>
    </row>
    <row r="12">
      <c r="A12" s="124">
        <v>1.1</v>
      </c>
      <c r="B12" s="125">
        <v>3136.0</v>
      </c>
    </row>
    <row r="13">
      <c r="A13" s="124">
        <v>1.2</v>
      </c>
      <c r="B13" s="125">
        <v>3250.0</v>
      </c>
    </row>
    <row r="14">
      <c r="A14" s="124">
        <v>1.3</v>
      </c>
      <c r="B14" s="125">
        <v>3366.0</v>
      </c>
    </row>
    <row r="15">
      <c r="A15" s="124">
        <v>1.4</v>
      </c>
      <c r="B15" s="125">
        <v>3704.0</v>
      </c>
    </row>
    <row r="16">
      <c r="A16" s="124">
        <v>1.5</v>
      </c>
      <c r="B16" s="125">
        <v>3976.0</v>
      </c>
    </row>
    <row r="17">
      <c r="A17" s="124">
        <v>1.6</v>
      </c>
      <c r="B17" s="125">
        <v>3976.0</v>
      </c>
    </row>
    <row r="18">
      <c r="A18" s="124">
        <v>1.7</v>
      </c>
      <c r="B18" s="125">
        <v>3976.0</v>
      </c>
    </row>
    <row r="19">
      <c r="A19" s="124">
        <v>1.8</v>
      </c>
      <c r="B19" s="125">
        <v>3976.0</v>
      </c>
    </row>
    <row r="20">
      <c r="A20" s="124">
        <v>1.9</v>
      </c>
      <c r="B20" s="125">
        <v>3976.0</v>
      </c>
    </row>
    <row r="21">
      <c r="A21" s="124">
        <v>2.0</v>
      </c>
      <c r="B21" s="125">
        <v>4351.0</v>
      </c>
    </row>
    <row r="22">
      <c r="A22" s="124">
        <v>2.5</v>
      </c>
      <c r="B22" s="125">
        <v>4736.0</v>
      </c>
    </row>
    <row r="23">
      <c r="A23" s="124">
        <v>3.0</v>
      </c>
      <c r="B23" s="125">
        <v>4956.0</v>
      </c>
    </row>
    <row r="24">
      <c r="A24" s="124">
        <v>3.5</v>
      </c>
      <c r="B24" s="125">
        <v>5030.0</v>
      </c>
    </row>
    <row r="25">
      <c r="A25" s="124">
        <v>4.0</v>
      </c>
      <c r="B25" s="125">
        <v>5631.0</v>
      </c>
    </row>
    <row r="26">
      <c r="A26" s="124">
        <v>4.5</v>
      </c>
      <c r="B26" s="125">
        <v>6231.0</v>
      </c>
    </row>
    <row r="27">
      <c r="A27" s="124">
        <v>5.0</v>
      </c>
      <c r="B27" s="125">
        <v>6605.0</v>
      </c>
    </row>
    <row r="28">
      <c r="A28" s="124">
        <v>5.5</v>
      </c>
      <c r="B28" s="125">
        <v>7060.0</v>
      </c>
    </row>
    <row r="29">
      <c r="A29" s="124">
        <v>6.0</v>
      </c>
      <c r="B29" s="125">
        <v>7512.0</v>
      </c>
    </row>
    <row r="30">
      <c r="A30" s="124">
        <v>6.5</v>
      </c>
      <c r="B30" s="125">
        <v>8029.0</v>
      </c>
    </row>
    <row r="31">
      <c r="A31" s="124">
        <v>7.0</v>
      </c>
      <c r="B31" s="125">
        <v>8658.0</v>
      </c>
    </row>
    <row r="32">
      <c r="A32" s="124">
        <v>7.5</v>
      </c>
      <c r="B32" s="125">
        <v>9356.0</v>
      </c>
    </row>
    <row r="33">
      <c r="A33" s="124">
        <v>8.0</v>
      </c>
      <c r="B33" s="125">
        <v>9619.0</v>
      </c>
    </row>
    <row r="34">
      <c r="A34" s="124">
        <v>8.5</v>
      </c>
      <c r="B34" s="125">
        <v>9884.0</v>
      </c>
    </row>
    <row r="35">
      <c r="A35" s="124">
        <v>9.0</v>
      </c>
      <c r="B35" s="125">
        <v>10149.0</v>
      </c>
    </row>
    <row r="36">
      <c r="A36" s="124">
        <v>9.5</v>
      </c>
      <c r="B36" s="125">
        <v>12411.0</v>
      </c>
    </row>
    <row r="37">
      <c r="A37" s="124">
        <v>10.0</v>
      </c>
      <c r="B37" s="125">
        <v>12725.0</v>
      </c>
    </row>
    <row r="38">
      <c r="A38" s="124">
        <v>10.5</v>
      </c>
      <c r="B38" s="125">
        <v>13084.0</v>
      </c>
    </row>
    <row r="39">
      <c r="A39" s="124">
        <v>11.0</v>
      </c>
      <c r="B39" s="125">
        <v>13443.0</v>
      </c>
    </row>
    <row r="40">
      <c r="A40" s="124">
        <v>11.5</v>
      </c>
      <c r="B40" s="125">
        <v>13805.0</v>
      </c>
    </row>
    <row r="41">
      <c r="A41" s="124">
        <v>12.0</v>
      </c>
      <c r="B41" s="125">
        <v>14162.0</v>
      </c>
    </row>
    <row r="42">
      <c r="A42" s="124">
        <v>12.5</v>
      </c>
      <c r="B42" s="125">
        <v>16015.0</v>
      </c>
    </row>
    <row r="43">
      <c r="A43" s="124">
        <v>13.0</v>
      </c>
      <c r="B43" s="125">
        <v>16412.0</v>
      </c>
    </row>
    <row r="44">
      <c r="A44" s="124">
        <v>13.5</v>
      </c>
      <c r="B44" s="125">
        <v>16808.0</v>
      </c>
    </row>
    <row r="45">
      <c r="A45" s="124">
        <v>14.0</v>
      </c>
      <c r="B45" s="125">
        <v>17205.0</v>
      </c>
    </row>
    <row r="46">
      <c r="A46" s="124">
        <v>14.5</v>
      </c>
      <c r="B46" s="125">
        <v>17602.0</v>
      </c>
    </row>
    <row r="47">
      <c r="A47" s="124">
        <v>15.0</v>
      </c>
      <c r="B47" s="125">
        <v>18000.0</v>
      </c>
    </row>
    <row r="48">
      <c r="A48" s="124">
        <v>15.5</v>
      </c>
      <c r="B48" s="125">
        <v>18396.0</v>
      </c>
    </row>
    <row r="49">
      <c r="A49" s="124">
        <v>16.0</v>
      </c>
      <c r="B49" s="125">
        <v>20483.0</v>
      </c>
    </row>
    <row r="50">
      <c r="A50" s="124">
        <v>16.5</v>
      </c>
      <c r="B50" s="125">
        <v>20916.0</v>
      </c>
    </row>
    <row r="51">
      <c r="A51" s="124">
        <v>17.0</v>
      </c>
      <c r="B51" s="125">
        <v>21349.0</v>
      </c>
    </row>
    <row r="52">
      <c r="A52" s="124">
        <v>17.5</v>
      </c>
      <c r="B52" s="125">
        <v>21783.0</v>
      </c>
    </row>
    <row r="53">
      <c r="A53" s="124">
        <v>18.0</v>
      </c>
      <c r="B53" s="125">
        <v>22214.0</v>
      </c>
    </row>
    <row r="54">
      <c r="A54" s="124">
        <v>18.5</v>
      </c>
      <c r="B54" s="125">
        <v>22648.0</v>
      </c>
    </row>
    <row r="55">
      <c r="A55" s="124">
        <v>19.0</v>
      </c>
      <c r="B55" s="125">
        <v>23079.0</v>
      </c>
    </row>
    <row r="56">
      <c r="A56" s="124">
        <v>19.5</v>
      </c>
      <c r="B56" s="125">
        <v>23512.0</v>
      </c>
    </row>
    <row r="57">
      <c r="A57" s="124">
        <v>20.0</v>
      </c>
      <c r="B57" s="125">
        <v>23946.0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26"/>
      <c r="B1" s="126"/>
      <c r="C1" s="126"/>
      <c r="D1" s="127" t="s">
        <v>40</v>
      </c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6"/>
      <c r="B2" s="127" t="s">
        <v>1702</v>
      </c>
      <c r="C2" s="128">
        <v>0.1</v>
      </c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6"/>
      <c r="B3" s="127" t="s">
        <v>1703</v>
      </c>
      <c r="C3" s="129">
        <v>0.021</v>
      </c>
      <c r="D3" s="127" t="s">
        <v>1704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6"/>
      <c r="B4" s="127" t="s">
        <v>1705</v>
      </c>
      <c r="C4" s="127">
        <v>225.0</v>
      </c>
      <c r="D4" s="127" t="s">
        <v>1699</v>
      </c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6"/>
      <c r="B5" s="127" t="s">
        <v>1706</v>
      </c>
      <c r="C5" s="127">
        <v>0.4</v>
      </c>
      <c r="D5" s="127" t="s">
        <v>1707</v>
      </c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>
      <c r="A6" s="126"/>
      <c r="B6" s="127" t="s">
        <v>1708</v>
      </c>
      <c r="C6" s="128">
        <v>0.1</v>
      </c>
      <c r="D6" s="127" t="s">
        <v>1709</v>
      </c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126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26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26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>
      <c r="A25" s="12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drawing r:id="rId1"/>
</worksheet>
</file>